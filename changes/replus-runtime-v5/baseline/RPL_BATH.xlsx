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888e5b1f7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0_Evidence" sheetId="1" r:id="R4d19ed3b030d43b5"/>
    <x:sheet xmlns:r="http://schemas.openxmlformats.org/officeDocument/2006/relationships" name="00_INDEX" sheetId="2" r:id="R6781c9addea343bf"/>
    <x:sheet xmlns:r="http://schemas.openxmlformats.org/officeDocument/2006/relationships" name="00_README" sheetId="3" r:id="Redaaccb598824424"/>
    <x:sheet xmlns:r="http://schemas.openxmlformats.org/officeDocument/2006/relationships" name="01_入力フロー" sheetId="4" r:id="R091c4dec0e234b58"/>
    <x:sheet xmlns:r="http://schemas.openxmlformats.org/officeDocument/2006/relationships" name="02_取替方式" sheetId="5" r:id="R49f0c6447b4a4b40"/>
    <x:sheet xmlns:r="http://schemas.openxmlformats.org/officeDocument/2006/relationships" name="02A_仕様区分" sheetId="6" r:id="R871aede2438e425d"/>
    <x:sheet xmlns:r="http://schemas.openxmlformats.org/officeDocument/2006/relationships" name="03_窓種" sheetId="7" r:id="R30b453c42af84343"/>
    <x:sheet xmlns:r="http://schemas.openxmlformats.org/officeDocument/2006/relationships" name="03A_枠仕様" sheetId="8" r:id="R980d7504c4cb4b58"/>
    <x:sheet xmlns:r="http://schemas.openxmlformats.org/officeDocument/2006/relationships" name="03B_窓種枠設定" sheetId="9" r:id="R6883b2dfa5cc4d07"/>
    <x:sheet xmlns:r="http://schemas.openxmlformats.org/officeDocument/2006/relationships" name="04_窓種固有仕様" sheetId="10" r:id="R62f7a893223f461e"/>
    <x:sheet xmlns:r="http://schemas.openxmlformats.org/officeDocument/2006/relationships" name="05_サイズルール" sheetId="11" r:id="Rc524d87a823d4315"/>
    <x:sheet xmlns:r="http://schemas.openxmlformats.org/officeDocument/2006/relationships" name="05A_サイズ区間" sheetId="12" r:id="R1daa7811b2e6467c"/>
    <x:sheet xmlns:r="http://schemas.openxmlformats.org/officeDocument/2006/relationships" name="05B_境界ルール" sheetId="13" r:id="Rca4e491f34b34abc"/>
    <x:sheet xmlns:r="http://schemas.openxmlformats.org/officeDocument/2006/relationships" name="06_色" sheetId="14" r:id="R451da21c560d473b"/>
    <x:sheet xmlns:r="http://schemas.openxmlformats.org/officeDocument/2006/relationships" name="06A_色適用条件" sheetId="15" r:id="R5deb7453c2cc42e9"/>
    <x:sheet xmlns:r="http://schemas.openxmlformats.org/officeDocument/2006/relationships" name="07_網戸" sheetId="16" r:id="R18ab95fb2b7947c0"/>
    <x:sheet xmlns:r="http://schemas.openxmlformats.org/officeDocument/2006/relationships" name="07A_網戸適用条件" sheetId="17" r:id="Rbf917bdc50c946b9"/>
    <x:sheet xmlns:r="http://schemas.openxmlformats.org/officeDocument/2006/relationships" name="08_ガラス" sheetId="18" r:id="R089cf1d2dca349a4"/>
    <x:sheet xmlns:r="http://schemas.openxmlformats.org/officeDocument/2006/relationships" name="08A_ガラス適用条件" sheetId="19" r:id="Rddcff2e65f7c4b44"/>
    <x:sheet xmlns:r="http://schemas.openxmlformats.org/officeDocument/2006/relationships" name="09_その他OP" sheetId="20" r:id="R4d1140cd3e464bf8"/>
    <x:sheet xmlns:r="http://schemas.openxmlformats.org/officeDocument/2006/relationships" name="09A_OP依存関係" sheetId="21" r:id="Rca35a335935a4a37"/>
    <x:sheet xmlns:r="http://schemas.openxmlformats.org/officeDocument/2006/relationships" name="10_適用条件" sheetId="22" r:id="Rb3ce781734d24893"/>
    <x:sheet xmlns:r="http://schemas.openxmlformats.org/officeDocument/2006/relationships" name="10A_既設窓互換" sheetId="23" r:id="R0f812835d8ec4c7f"/>
    <x:sheet xmlns:r="http://schemas.openxmlformats.org/officeDocument/2006/relationships" name="10B_現調項目" sheetId="24" r:id="R04edcb4f8a6845db"/>
    <x:sheet xmlns:r="http://schemas.openxmlformats.org/officeDocument/2006/relationships" name="99_QA" sheetId="25" r:id="R9483a120c1ce4991"/>
    <x:sheet xmlns:r="http://schemas.openxmlformats.org/officeDocument/2006/relationships" name="04A_開口構成" sheetId="26" r:id="Re73857a387d44ba3"/>
    <x:sheet xmlns:r="http://schemas.openxmlformats.org/officeDocument/2006/relationships" name="11_見積入力テスト" sheetId="27" r:id="Rbecd1f9c003f4a8a"/>
    <x:sheet xmlns:r="http://schemas.openxmlformats.org/officeDocument/2006/relationships" name="10C_化粧カバー見付" sheetId="28" r:id="R2b5001b503eb4175"/>
    <x:sheet xmlns:r="http://schemas.openxmlformats.org/officeDocument/2006/relationships" name="04B_浴室改修モード" sheetId="29" r:id="Ra92c2950c86d44f5"/>
    <x:sheet xmlns:r="http://schemas.openxmlformats.org/officeDocument/2006/relationships" name="04C_既設開口パターン" sheetId="30" r:id="R2ce09f52aa884052"/>
    <x:sheet xmlns:r="http://schemas.openxmlformats.org/officeDocument/2006/relationships" name="04D_開口縮小部材" sheetId="31" r:id="R8ee9478e33094889"/>
    <x:sheet xmlns:r="http://schemas.openxmlformats.org/officeDocument/2006/relationships" name="05C_開口ポイント" sheetId="32" r:id="Rcd83cd1a5dd14240"/>
    <x:sheet xmlns:r="http://schemas.openxmlformats.org/officeDocument/2006/relationships" name="10D_浴室現場条件" sheetId="33" r:id="Rec47664b480e4118"/>
    <x:sheet xmlns:r="http://schemas.openxmlformats.org/officeDocument/2006/relationships" name="12_共通参照" sheetId="34" r:id="R0e98950884a64b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4"/>
      <x:color rgb="FFFFFFFF"/>
      <x:name val="Carlito"/>
    </x:font>
    <x:font>
      <x:i/>
      <x:sz val="9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i/>
      <x:sz val="9"/>
      <x:name val="Carlito"/>
    </x:font>
    <x:font>
      <x:b/>
      <x:sz val="9"/>
      <x:color rgb="FFFFFFFF"/>
      <x:name val="Carlito"/>
    </x:font>
    <x:font>
      <x:b/>
      <x:sz val="9"/>
      <x:color rgb="FF1F2937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</x:fills>
  <x:borders count="3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6" xfId="0" applyNumberFormat="1" applyFont="1" applyFill="1" applyBorder="1" applyAlignment="1">
      <x:alignment vertical="top" wrapText="1"/>
    </x:xf>
    <x:xf numFmtId="200" fontId="4" fillId="0" borderId="9" xfId="0" applyNumberFormat="1" applyFont="1" applyFill="1" applyBorder="1" applyAlignment="1">
      <x:alignment vertical="top" wrapText="1"/>
    </x:xf>
    <x:xf numFmtId="200" fontId="4" fillId="0" borderId="15" xfId="0" applyNumberFormat="1" applyFont="1" applyFill="1" applyBorder="1" applyAlignment="1">
      <x:alignment vertical="top" wrapText="1"/>
    </x:xf>
    <x:xf numFmtId="200" fontId="4" fillId="0" borderId="18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0" fillId="0" borderId="12" xfId="0" applyNumberFormat="1" applyFont="1" applyFill="1" applyBorder="1"/>
    <x:xf numFmtId="0" fontId="3" fillId="4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3" fillId="10" borderId="20" xfId="0" applyNumberFormat="1" applyFont="1" applyFill="1" applyBorder="1" applyAlignment="1">
      <x:alignment horizontal="center" vertical="center" wrapText="1"/>
    </x:xf>
    <x:xf numFmtId="0" fontId="3" fillId="10" borderId="21" xfId="0" applyNumberFormat="1" applyFont="1" applyFill="1" applyBorder="1" applyAlignment="1">
      <x:alignment horizontal="center" vertical="center" wrapText="1"/>
    </x:xf>
    <x:xf numFmtId="0" fontId="3" fillId="10" borderId="22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0" borderId="26" xfId="0" applyNumberFormat="1" applyFont="1" applyFill="1" applyBorder="1" applyAlignment="1">
      <x:alignment vertical="top" wrapText="1"/>
    </x:xf>
    <x:xf numFmtId="0" fontId="4" fillId="0" borderId="27" xfId="0" applyNumberFormat="1" applyFont="1" applyFill="1" applyBorder="1" applyAlignment="1">
      <x:alignment vertical="top" wrapText="1"/>
    </x:xf>
    <x:xf numFmtId="0" fontId="4" fillId="0" borderId="28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0" borderId="2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horizontal="center" vertical="top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6" fillId="10" borderId="20" xfId="0" applyNumberFormat="1" applyFont="1" applyFill="1" applyBorder="1" applyAlignment="1">
      <x:alignment horizontal="center" vertical="center" wrapText="1"/>
    </x:xf>
    <x:xf numFmtId="0" fontId="6" fillId="10" borderId="21" xfId="0" applyNumberFormat="1" applyFont="1" applyFill="1" applyBorder="1" applyAlignment="1">
      <x:alignment horizontal="center" vertical="center" wrapText="1"/>
    </x:xf>
    <x:xf numFmtId="0" fontId="6" fillId="10" borderId="22" xfId="0" applyNumberFormat="1" applyFont="1" applyFill="1" applyBorder="1" applyAlignment="1">
      <x:alignment horizontal="center" vertical="center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7" borderId="27" xfId="0" applyNumberFormat="1" applyFont="1" applyFill="1" applyBorder="1" applyAlignment="1">
      <x:alignment vertical="top" wrapText="1"/>
    </x:xf>
    <x:xf numFmtId="0" fontId="4" fillId="11" borderId="24" xfId="0" applyNumberFormat="1" applyFont="1" applyFill="1" applyBorder="1" applyAlignment="1">
      <x:alignment vertical="top" wrapText="1"/>
    </x:xf>
    <x:xf numFmtId="0" fontId="4" fillId="12" borderId="24" xfId="0" applyNumberFormat="1" applyFont="1" applyFill="1" applyBorder="1" applyAlignment="1">
      <x:alignment vertical="top" wrapText="1"/>
    </x:xf>
    <x:xf numFmtId="0" fontId="4" fillId="13" borderId="27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center"/>
    </x:xf>
    <x:xf numFmtId="0" fontId="2" fillId="15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3" fillId="16" borderId="29" xfId="0" applyNumberFormat="1" applyFont="1" applyFill="1" applyBorder="1" applyAlignment="1">
      <x:alignment horizontal="center" vertical="center" wrapText="1"/>
    </x:xf>
    <x:xf numFmtId="0" fontId="3" fillId="16" borderId="30" xfId="0" applyNumberFormat="1" applyFont="1" applyFill="1" applyBorder="1" applyAlignment="1">
      <x:alignment horizontal="center" vertical="center" wrapText="1"/>
    </x:xf>
    <x:xf numFmtId="0" fontId="3" fillId="16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vertical="top" wrapText="1"/>
    </x:xf>
    <x:xf numFmtId="0" fontId="4" fillId="0" borderId="33" xfId="0" applyNumberFormat="1" applyFont="1" applyFill="1" applyBorder="1" applyAlignment="1">
      <x:alignment vertical="top" wrapText="1"/>
    </x:xf>
    <x:xf numFmtId="0" fontId="4" fillId="0" borderId="34" xfId="0" applyNumberFormat="1" applyFont="1" applyFill="1" applyBorder="1" applyAlignment="1">
      <x:alignment vertical="top" wrapText="1"/>
    </x:xf>
    <x:xf numFmtId="0" fontId="4" fillId="0" borderId="35" xfId="0" applyNumberFormat="1" applyFont="1" applyFill="1" applyBorder="1" applyAlignment="1">
      <x:alignment vertical="top" wrapText="1"/>
    </x:xf>
    <x:xf numFmtId="0" fontId="4" fillId="0" borderId="36" xfId="0" applyNumberFormat="1" applyFont="1" applyFill="1" applyBorder="1" applyAlignment="1">
      <x:alignment vertical="top" wrapText="1"/>
    </x:xf>
    <x:xf numFmtId="0" fontId="4" fillId="0" borderId="3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4" borderId="32" xfId="0" applyNumberFormat="1" applyFont="1" applyFill="1" applyBorder="1" applyAlignment="1">
      <x:alignment horizontal="center" vertical="top" wrapText="1"/>
    </x:xf>
    <x:xf numFmtId="0" fontId="7" fillId="4" borderId="34" xfId="0" applyNumberFormat="1" applyFont="1" applyFill="1" applyBorder="1" applyAlignment="1">
      <x:alignment horizontal="center" vertical="top" wrapText="1"/>
    </x:xf>
    <x:xf numFmtId="0" fontId="7" fillId="4" borderId="33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4" fillId="0" borderId="3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3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33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33" xfId="0" applyNumberFormat="1" applyFont="1" applyFill="1" applyBorder="1" applyAlignment="1">
      <x:alignment vertical="top" wrapText="1"/>
    </x:xf>
    <x:xf numFmtId="0" fontId="7" fillId="4" borderId="20" xfId="0" applyNumberFormat="1" applyFont="1" applyFill="1" applyBorder="1" applyAlignment="1">
      <x:alignment horizontal="center" vertical="center" wrapText="1"/>
    </x:xf>
    <x:xf numFmtId="0" fontId="4" fillId="0" borderId="20" xfId="0" applyNumberFormat="1" applyFont="1" applyFill="1" applyBorder="1" applyAlignment="1">
      <x:alignment vertical="top" wrapText="1"/>
    </x:xf>
    <x:xf numFmtId="0" fontId="7" fillId="4" borderId="20" xfId="0" applyNumberFormat="1" applyFont="1" applyFill="1" applyBorder="1" applyAlignment="1">
      <x:alignment horizontal="center" vertical="top" wrapText="1"/>
    </x:xf>
    <x:xf numFmtId="0" fontId="3" fillId="16" borderId="20" xfId="0" applyNumberFormat="1" applyFont="1" applyFill="1" applyBorder="1" applyAlignment="1">
      <x:alignment horizontal="center" vertical="center" wrapText="1"/>
    </x:xf>
    <x:xf numFmtId="0" fontId="4" fillId="0" borderId="2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5" borderId="0" xfId="0" applyNumberFormat="1" applyFont="1" applyFill="1" applyBorder="1" applyAlignment="1">
      <x:alignment wrapText="1"/>
    </x:xf>
    <x:xf numFmtId="0" fontId="6" fillId="16" borderId="20" xfId="0" applyNumberFormat="1" applyFont="1" applyFill="1" applyBorder="1" applyAlignment="1">
      <x:alignment horizontal="center" vertical="center" wrapText="1"/>
    </x:xf>
    <x:xf numFmtId="0" fontId="6" fillId="16" borderId="0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 applyAlignment="1">
      <x:alignment vertical="top" wrapText="1"/>
    </x:xf>
    <x:xf numFmtId="0" fontId="4" fillId="12" borderId="20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6" fillId="16" borderId="29" xfId="0" applyNumberFormat="1" applyFont="1" applyFill="1" applyBorder="1" applyAlignment="1">
      <x:alignment horizontal="center" vertical="center" wrapText="1"/>
    </x:xf>
    <x:xf numFmtId="0" fontId="6" fillId="16" borderId="30" xfId="0" applyNumberFormat="1" applyFont="1" applyFill="1" applyBorder="1" applyAlignment="1">
      <x:alignment horizontal="center" vertical="center" wrapText="1"/>
    </x:xf>
    <x:xf numFmtId="0" fontId="6" fillId="16" borderId="31" xfId="0" applyNumberFormat="1" applyFont="1" applyFill="1" applyBorder="1" applyAlignment="1">
      <x:alignment horizontal="center" vertical="center" wrapText="1"/>
    </x:xf>
    <x:xf numFmtId="0" fontId="4" fillId="5" borderId="33" xfId="0" applyNumberFormat="1" applyFont="1" applyFill="1" applyBorder="1" applyAlignment="1">
      <x:alignment vertical="top" wrapText="1"/>
    </x:xf>
    <x:xf numFmtId="0" fontId="4" fillId="12" borderId="33" xfId="0" applyNumberFormat="1" applyFont="1" applyFill="1" applyBorder="1" applyAlignment="1">
      <x:alignment vertical="top" wrapText="1"/>
    </x:xf>
    <x:xf numFmtId="0" fontId="4" fillId="7" borderId="33" xfId="0" applyNumberFormat="1" applyFont="1" applyFill="1" applyBorder="1" applyAlignment="1">
      <x:alignment vertical="top" wrapText="1"/>
    </x:xf>
    <x:xf numFmtId="0" fontId="4" fillId="17" borderId="33" xfId="0" applyNumberFormat="1" applyFont="1" applyFill="1" applyBorder="1" applyAlignment="1">
      <x:alignment vertical="top" wrapText="1"/>
    </x:xf>
    <x:xf numFmtId="0" fontId="4" fillId="18" borderId="33" xfId="0" applyNumberFormat="1" applyFont="1" applyFill="1" applyBorder="1" applyAlignment="1">
      <x:alignment vertical="top" wrapText="1"/>
    </x:xf>
    <x:xf numFmtId="0" fontId="4" fillId="19" borderId="36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8fcab17864531" /><Relationship Type="http://schemas.openxmlformats.org/officeDocument/2006/relationships/theme" Target="/xl/theme/theme1.xml" Id="R47e9bd2a4c424881" /><Relationship Type="http://schemas.microsoft.com/office/2022/11/relationships/FeaturePropertyBag" Target="/xl/featurePropertyBag/featurePropertyBag.xml" Id="R8123052040cd4562" /><Relationship Type="http://schemas.openxmlformats.org/officeDocument/2006/relationships/sharedStrings" Target="/xl/sharedStrings.xml" Id="Re7ef246999ab4151" /><Relationship Type="http://schemas.openxmlformats.org/officeDocument/2006/relationships/worksheet" Target="/xl/worksheets/sheet1.xml" Id="R4d19ed3b030d43b5" /><Relationship Type="http://schemas.openxmlformats.org/officeDocument/2006/relationships/worksheet" Target="/xl/worksheets/sheet2.xml" Id="R6781c9addea343bf" /><Relationship Type="http://schemas.openxmlformats.org/officeDocument/2006/relationships/worksheet" Target="/xl/worksheets/sheet3.xml" Id="Redaaccb598824424" /><Relationship Type="http://schemas.openxmlformats.org/officeDocument/2006/relationships/worksheet" Target="/xl/worksheets/sheet4.xml" Id="R091c4dec0e234b58" /><Relationship Type="http://schemas.openxmlformats.org/officeDocument/2006/relationships/worksheet" Target="/xl/worksheets/sheet5.xml" Id="R49f0c6447b4a4b40" /><Relationship Type="http://schemas.openxmlformats.org/officeDocument/2006/relationships/worksheet" Target="/xl/worksheets/sheet6.xml" Id="R871aede2438e425d" /><Relationship Type="http://schemas.openxmlformats.org/officeDocument/2006/relationships/worksheet" Target="/xl/worksheets/sheet7.xml" Id="R30b453c42af84343" /><Relationship Type="http://schemas.openxmlformats.org/officeDocument/2006/relationships/worksheet" Target="/xl/worksheets/sheet8.xml" Id="R980d7504c4cb4b58" /><Relationship Type="http://schemas.openxmlformats.org/officeDocument/2006/relationships/worksheet" Target="/xl/worksheets/sheet9.xml" Id="R6883b2dfa5cc4d07" /><Relationship Type="http://schemas.openxmlformats.org/officeDocument/2006/relationships/worksheet" Target="/xl/worksheets/sheet10.xml" Id="R62f7a893223f461e" /><Relationship Type="http://schemas.openxmlformats.org/officeDocument/2006/relationships/worksheet" Target="/xl/worksheets/sheet11.xml" Id="Rc524d87a823d4315" /><Relationship Type="http://schemas.openxmlformats.org/officeDocument/2006/relationships/worksheet" Target="/xl/worksheets/sheet12.xml" Id="R1daa7811b2e6467c" /><Relationship Type="http://schemas.openxmlformats.org/officeDocument/2006/relationships/worksheet" Target="/xl/worksheets/sheet13.xml" Id="Rca4e491f34b34abc" /><Relationship Type="http://schemas.openxmlformats.org/officeDocument/2006/relationships/worksheet" Target="/xl/worksheets/sheet14.xml" Id="R451da21c560d473b" /><Relationship Type="http://schemas.openxmlformats.org/officeDocument/2006/relationships/worksheet" Target="/xl/worksheets/sheet15.xml" Id="R5deb7453c2cc42e9" /><Relationship Type="http://schemas.openxmlformats.org/officeDocument/2006/relationships/worksheet" Target="/xl/worksheets/sheet16.xml" Id="R18ab95fb2b7947c0" /><Relationship Type="http://schemas.openxmlformats.org/officeDocument/2006/relationships/worksheet" Target="/xl/worksheets/sheet17.xml" Id="Rbf917bdc50c946b9" /><Relationship Type="http://schemas.openxmlformats.org/officeDocument/2006/relationships/worksheet" Target="/xl/worksheets/sheet18.xml" Id="R089cf1d2dca349a4" /><Relationship Type="http://schemas.openxmlformats.org/officeDocument/2006/relationships/worksheet" Target="/xl/worksheets/sheet19.xml" Id="Rddcff2e65f7c4b44" /><Relationship Type="http://schemas.openxmlformats.org/officeDocument/2006/relationships/worksheet" Target="/xl/worksheets/sheet20.xml" Id="R4d1140cd3e464bf8" /><Relationship Type="http://schemas.openxmlformats.org/officeDocument/2006/relationships/worksheet" Target="/xl/worksheets/sheet21.xml" Id="Rca35a335935a4a37" /><Relationship Type="http://schemas.openxmlformats.org/officeDocument/2006/relationships/worksheet" Target="/xl/worksheets/sheet22.xml" Id="Rb3ce781734d24893" /><Relationship Type="http://schemas.openxmlformats.org/officeDocument/2006/relationships/worksheet" Target="/xl/worksheets/sheet23.xml" Id="R0f812835d8ec4c7f" /><Relationship Type="http://schemas.openxmlformats.org/officeDocument/2006/relationships/worksheet" Target="/xl/worksheets/sheet24.xml" Id="R04edcb4f8a6845db" /><Relationship Type="http://schemas.openxmlformats.org/officeDocument/2006/relationships/worksheet" Target="/xl/worksheets/sheet25.xml" Id="R9483a120c1ce4991" /><Relationship Type="http://schemas.openxmlformats.org/officeDocument/2006/relationships/worksheet" Target="/xl/worksheets/sheet26.xml" Id="Re73857a387d44ba3" /><Relationship Type="http://schemas.openxmlformats.org/officeDocument/2006/relationships/worksheet" Target="/xl/worksheets/sheet27.xml" Id="Rbecd1f9c003f4a8a" /><Relationship Type="http://schemas.openxmlformats.org/officeDocument/2006/relationships/worksheet" Target="/xl/worksheets/sheet28.xml" Id="R2b5001b503eb4175" /><Relationship Type="http://schemas.openxmlformats.org/officeDocument/2006/relationships/worksheet" Target="/xl/worksheets/sheet29.xml" Id="Ra92c2950c86d44f5" /><Relationship Type="http://schemas.openxmlformats.org/officeDocument/2006/relationships/worksheet" Target="/xl/worksheets/sheet30.xml" Id="R2ce09f52aa884052" /><Relationship Type="http://schemas.openxmlformats.org/officeDocument/2006/relationships/worksheet" Target="/xl/worksheets/sheet31.xml" Id="R8ee9478e33094889" /><Relationship Type="http://schemas.openxmlformats.org/officeDocument/2006/relationships/worksheet" Target="/xl/worksheets/sheet32.xml" Id="Rcd83cd1a5dd14240" /><Relationship Type="http://schemas.openxmlformats.org/officeDocument/2006/relationships/worksheet" Target="/xl/worksheets/sheet33.xml" Id="Rec47664b480e4118" /><Relationship Type="http://schemas.openxmlformats.org/officeDocument/2006/relationships/worksheet" Target="/xl/worksheets/sheet34.xml" Id="R0e98950884a64b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48" hidden="0" customWidth="1"/>
    <x:col min="4" max="4" width="18" hidden="0" customWidth="1"/>
    <x:col min="5" max="5" width="32" hidden="0" customWidth="1"/>
    <x:col min="6" max="6" width="64" hidden="0" customWidth="1"/>
    <x:col min="7" max="7" width="14" hidden="0" customWidth="1"/>
    <x:col min="8" max="8" width="16" hidden="0" customWidth="1"/>
    <x:col min="9" max="9" width="96" hidden="0" customWidth="1"/>
  </x:cols>
  <x:sheetData>
    <x:row r="1" ht="28" customHeight="1">
      <x:c r="A1" s="178" t="str">
        <x:v>90_Evidence｜浴室仕様 根拠管理</x:v>
      </x:c>
      <x:c r="B1" s="178"/>
      <x:c r="C1" s="178"/>
      <x:c r="D1" s="178"/>
      <x:c r="E1" s="178"/>
      <x:c r="F1" s="178"/>
      <x:c r="G1" s="178"/>
      <x:c r="H1" s="178"/>
      <x:c r="I1" s="178"/>
    </x:row>
    <x:row r="2" ht="40" customHeight="1">
      <x:c r="A2" s="179" t="str">
        <x:v>推測値は登録せず、2026業務用資料・現行Web・商品カタログを突合。</x:v>
      </x:c>
      <x:c r="B2" s="179"/>
      <x:c r="C2" s="179"/>
      <x:c r="D2" s="179"/>
      <x:c r="E2" s="179"/>
      <x:c r="F2" s="179"/>
      <x:c r="G2" s="179"/>
      <x:c r="H2" s="179"/>
      <x:c r="I2" s="179"/>
    </x:row>
    <x:row r="4" ht="30" customHeight="1">
      <x:c r="A4" s="181" t="str">
        <x:v>evidence_id</x:v>
      </x:c>
      <x:c r="B4" s="182" t="str">
        <x:v>情報源種別</x:v>
      </x:c>
      <x:c r="C4" s="182" t="str">
        <x:v>資料名</x:v>
      </x:c>
      <x:c r="D4" s="182" t="str">
        <x:v>発行年月</x:v>
      </x:c>
      <x:c r="E4" s="182" t="str">
        <x:v>ページ/箇所</x:v>
      </x:c>
      <x:c r="F4" s="182" t="str">
        <x:v>URL</x:v>
      </x:c>
      <x:c r="G4" s="182" t="str">
        <x:v>確認日</x:v>
      </x:c>
      <x:c r="H4" s="182" t="str">
        <x:v>確度</x:v>
      </x:c>
      <x:c r="I4" s="183" t="str">
        <x:v>根拠内容</x:v>
      </x:c>
    </x:row>
    <x:row r="5">
      <x:c r="A5" s="184" t="str">
        <x:v>BATH-EV-001</x:v>
      </x:c>
      <x:c r="B5" s="185" t="str">
        <x:v>共通仕様</x:v>
      </x:c>
      <x:c r="C5" s="185" t="str">
        <x:v>サッシ商品マスター共通仕様書_v0.1</x:v>
      </x:c>
      <x:c r="D5" s="185" t="str">
        <x:v>2026-08-30更新</x:v>
      </x:c>
      <x:c r="E5" s="185" t="str">
        <x:v>§31-34ほか</x:v>
      </x:c>
      <x:c r="F5" s="185" t="str">
        <x:v>https://docs.google.com/document/d/1MfixkbV1cZ__DtBknEKsix_nnrXQqjc-LZtXUHwJv_A/edit</x:v>
      </x:c>
      <x:c r="G5" s="185" t="str">
        <x:v>2026-08-31</x:v>
      </x:c>
      <x:c r="H5" s="185" t="str">
        <x:v>HIGH</x:v>
      </x:c>
      <x:c r="I5" s="186" t="str">
        <x:v>条件判定・Evidence・特殊案件</x:v>
      </x:c>
    </x:row>
    <x:row r="6">
      <x:c r="A6" s="184" t="str">
        <x:v>BATH-EV-002</x:v>
      </x:c>
      <x:c r="B6" s="185" t="str">
        <x:v>業務用資料集</x:v>
      </x:c>
      <x:c r="C6" s="185" t="str">
        <x:v>リプラス・リプラスマンション用 取替窓 業務用資料集</x:v>
      </x:c>
      <x:c r="D6" s="185" t="str">
        <x:v>2026-04</x:v>
      </x:c>
      <x:c r="E6" s="185" t="str">
        <x:v>浴室仕様 p52～</x:v>
      </x:c>
      <x:c r="F6" s="185" t="str">
        <x:v>https://drive.google.com/file/d/1D1HPMXhOMYd_Lu10XNzzJR2TH3aDHVUr/view</x:v>
      </x:c>
      <x:c r="G6" s="185" t="str">
        <x:v>2026-08-31</x:v>
      </x:c>
      <x:c r="H6" s="185" t="str">
        <x:v>HIGH</x:v>
      </x:c>
      <x:c r="I6" s="186" t="str">
        <x:v>浴室商品体系・価格表</x:v>
      </x:c>
    </x:row>
    <x:row r="7">
      <x:c r="A7" s="184" t="str">
        <x:v>BATH-EV-003</x:v>
      </x:c>
      <x:c r="B7" s="185" t="str">
        <x:v>商品カタログ</x:v>
      </x:c>
      <x:c r="C7" s="185" t="str">
        <x:v>LIXIL リプラス 商品カタログ SN1200</x:v>
      </x:c>
      <x:c r="D7" s="185" t="str">
        <x:v>2025-08</x:v>
      </x:c>
      <x:c r="E7" s="185" t="str">
        <x:v>p30-32</x:v>
      </x:c>
      <x:c r="F7" s="185" t="str">
        <x:v>https://drive.google.com/file/d/1wH1nhmsftl6y8Mp7y6twtoXSi6rxqxzT/view</x:v>
      </x:c>
      <x:c r="G7" s="185" t="str">
        <x:v>2026-08-31</x:v>
      </x:c>
      <x:c r="H7" s="185" t="str">
        <x:v>HIGH</x:v>
      </x:c>
      <x:c r="I7" s="186" t="str">
        <x:v>改修モード・8窓種・開口縮小・色</x:v>
      </x:c>
    </x:row>
    <x:row r="8">
      <x:c r="A8" s="184" t="str">
        <x:v>BATH-EV-004</x:v>
      </x:c>
      <x:c r="B8" s="185" t="str">
        <x:v>公式Web</x:v>
      </x:c>
      <x:c r="C8" s="185" t="str">
        <x:v>LIXIL リプラス 浴室仕様</x:v>
      </x:c>
      <x:c r="D8" s="185" t="str">
        <x:v>現行</x:v>
      </x:c>
      <x:c r="E8" s="185" t="str">
        <x:v>品種/色/ガラス/網戸</x:v>
      </x:c>
      <x:c r="F8" s="185" t="str">
        <x:v>https://www.lixil.co.jp/lineup/window/replus/variation/bathroom/</x:v>
      </x:c>
      <x:c r="G8" s="185" t="str">
        <x:v>2026-08-31</x:v>
      </x:c>
      <x:c r="H8" s="185" t="str">
        <x:v>HIGH</x:v>
      </x:c>
      <x:c r="I8" s="186" t="str">
        <x:v>現行品種・既設樹脂/木不可・トリプル注記</x:v>
      </x:c>
    </x:row>
    <x:row r="9">
      <x:c r="A9" s="184" t="str">
        <x:v>BATH-EV-005</x:v>
      </x:c>
      <x:c r="B9" s="185" t="str">
        <x:v>業務用資料集</x:v>
      </x:c>
      <x:c r="C9" s="185" t="str">
        <x:v>同上</x:v>
      </x:c>
      <x:c r="D9" s="185" t="str">
        <x:v>2026-04</x:v>
      </x:c>
      <x:c r="E9" s="185" t="str">
        <x:v>浴室仕様 完成品価格表</x:v>
      </x:c>
      <x:c r="F9" s="185" t="str">
        <x:v>https://drive.google.com/file/d/1D1HPMXhOMYd_Lu10XNzzJR2TH3aDHVUr/view</x:v>
      </x:c>
      <x:c r="G9" s="185" t="str">
        <x:v>2026-08-31</x:v>
      </x:c>
      <x:c r="H9" s="185" t="str">
        <x:v>HIGH</x:v>
      </x:c>
      <x:c r="I9" s="186" t="str">
        <x:v>窓種別網戸・ガラス・部材・依存</x:v>
      </x:c>
    </x:row>
    <x:row r="10">
      <x:c r="A10" s="184" t="str">
        <x:v>BATH-EV-006</x:v>
      </x:c>
      <x:c r="B10" s="185" t="str">
        <x:v>商品カタログ</x:v>
      </x:c>
      <x:c r="C10" s="185" t="str">
        <x:v>同上</x:v>
      </x:c>
      <x:c r="D10" s="185" t="str">
        <x:v>2025-08</x:v>
      </x:c>
      <x:c r="E10" s="185" t="str">
        <x:v>p100</x:v>
      </x:c>
      <x:c r="F10" s="185" t="str">
        <x:v>https://drive.google.com/file/d/1wH1nhmsftl6y8Mp7y6twtoXSi6rxqxzT/view</x:v>
      </x:c>
      <x:c r="G10" s="185" t="str">
        <x:v>2026-08-31</x:v>
      </x:c>
      <x:c r="H10" s="185" t="str">
        <x:v>HIGH</x:v>
      </x:c>
      <x:c r="I10" s="186" t="str">
        <x:v>引違い標準/ブリッジ寸法・A/B/C/D・式</x:v>
      </x:c>
    </x:row>
    <x:row r="11">
      <x:c r="A11" s="184" t="str">
        <x:v>BATH-EV-007</x:v>
      </x:c>
      <x:c r="B11" s="185" t="str">
        <x:v>商品カタログ</x:v>
      </x:c>
      <x:c r="C11" s="185" t="str">
        <x:v>同上</x:v>
      </x:c>
      <x:c r="D11" s="185" t="str">
        <x:v>2025-08</x:v>
      </x:c>
      <x:c r="E11" s="185" t="str">
        <x:v>p112</x:v>
      </x:c>
      <x:c r="F11" s="185" t="str">
        <x:v>https://drive.google.com/file/d/1wH1nhmsftl6y8Mp7y6twtoXSi6rxqxzT/view</x:v>
      </x:c>
      <x:c r="G11" s="185" t="str">
        <x:v>2026-08-31</x:v>
      </x:c>
      <x:c r="H11" s="185" t="str">
        <x:v>HIGH</x:v>
      </x:c>
      <x:c r="I11" s="186" t="str">
        <x:v>装飾窓/上げ下げFS寸法・重量・清掃アーム</x:v>
      </x:c>
    </x:row>
    <x:row r="12">
      <x:c r="A12" s="184" t="str">
        <x:v>BATH-EV-008</x:v>
      </x:c>
      <x:c r="B12" s="185" t="str">
        <x:v>商品カタログ</x:v>
      </x:c>
      <x:c r="C12" s="185" t="str">
        <x:v>同上</x:v>
      </x:c>
      <x:c r="D12" s="185" t="str">
        <x:v>2025-08</x:v>
      </x:c>
      <x:c r="E12" s="185" t="str">
        <x:v>p113</x:v>
      </x:c>
      <x:c r="F12" s="185" t="str">
        <x:v>https://drive.google.com/file/d/1wH1nhmsftl6y8Mp7y6twtoXSi6rxqxzT/view</x:v>
      </x:c>
      <x:c r="G12" s="185" t="str">
        <x:v>2026-08-31</x:v>
      </x:c>
      <x:c r="H12" s="185" t="str">
        <x:v>HIGH</x:v>
      </x:c>
      <x:c r="I12" s="186" t="str">
        <x:v>FIX・連窓・段窓・断熱パネル・総W式</x:v>
      </x:c>
    </x:row>
    <x:row r="13">
      <x:c r="A13" s="184" t="str">
        <x:v>BATH-EV-009</x:v>
      </x:c>
      <x:c r="B13" s="185" t="str">
        <x:v>商品カタログ</x:v>
      </x:c>
      <x:c r="C13" s="185" t="str">
        <x:v>同上</x:v>
      </x:c>
      <x:c r="D13" s="185" t="str">
        <x:v>2025-08</x:v>
      </x:c>
      <x:c r="E13" s="185" t="str">
        <x:v>p205-211/現調資料</x:v>
      </x:c>
      <x:c r="F13" s="185" t="str">
        <x:v>https://drive.google.com/file/d/1wH1nhmsftl6y8Mp7y6twtoXSi6rxqxzT/view</x:v>
      </x:c>
      <x:c r="G13" s="185" t="str">
        <x:v>2026-08-31</x:v>
      </x:c>
      <x:c r="H13" s="185" t="str">
        <x:v>HIGH</x:v>
      </x:c>
      <x:c r="I13" s="186" t="str">
        <x:v>SB同時/窓単独・3点採寸・補強金具・見付・防水条件</x:v>
      </x:c>
    </x:row>
    <x:row r="14">
      <x:c r="A14" s="184" t="str">
        <x:v>BATH-EV-010</x:v>
      </x:c>
      <x:c r="B14" s="185" t="str">
        <x:v>商品カタログ</x:v>
      </x:c>
      <x:c r="C14" s="185" t="str">
        <x:v>同上</x:v>
      </x:c>
      <x:c r="D14" s="185" t="str">
        <x:v>2025-08</x:v>
      </x:c>
      <x:c r="E14" s="185" t="str">
        <x:v>p48/p55付近</x:v>
      </x:c>
      <x:c r="F14" s="185" t="str">
        <x:v>https://drive.google.com/file/d/1wH1nhmsftl6y8Mp7y6twtoXSi6rxqxzT/view</x:v>
      </x:c>
      <x:c r="G14" s="185" t="str">
        <x:v>2026-08-31</x:v>
      </x:c>
      <x:c r="H14" s="185" t="str">
        <x:v>HIGH</x:v>
      </x:c>
      <x:c r="I14" s="186" t="str">
        <x:v>複層/トリプルガラス体系・中空層・スペーサー</x:v>
      </x:c>
    </x:row>
    <x:row r="15">
      <x:c r="A15" s="184" t="str">
        <x:v>BATH-EV-011</x:v>
      </x:c>
      <x:c r="B15" s="185" t="str">
        <x:v>商品カタログ/業務用資料</x:v>
      </x:c>
      <x:c r="C15" s="185" t="str">
        <x:v>同上</x:v>
      </x:c>
      <x:c r="D15" s="185" t="str">
        <x:v>2025-08/2026-04</x:v>
      </x:c>
      <x:c r="E15" s="185" t="str">
        <x:v>有償品取付可否/浴室各価格表</x:v>
      </x:c>
      <x:c r="F15" s="185" t="str">
        <x:v>https://drive.google.com/file/d/1wH1nhmsftl6y8Mp7y6twtoXSi6rxqxzT/view</x:v>
      </x:c>
      <x:c r="G15" s="185" t="str">
        <x:v>2026-08-31</x:v>
      </x:c>
      <x:c r="H15" s="185" t="str">
        <x:v>HIGH</x:v>
      </x:c>
      <x:c r="I15" s="186" t="str">
        <x:v>有償品・併用不可・浴室不可OP</x:v>
      </x:c>
    </x:row>
    <x:row r="16">
      <x:c r="A16" s="187" t="str">
        <x:v>BATH-EV-012</x:v>
      </x:c>
      <x:c r="B16" s="188" t="str">
        <x:v>商品カタログ</x:v>
      </x:c>
      <x:c r="C16" s="188" t="str">
        <x:v>同上</x:v>
      </x:c>
      <x:c r="D16" s="188" t="str">
        <x:v>2025-08</x:v>
      </x:c>
      <x:c r="E16" s="188" t="str">
        <x:v>p206/連段・ガラス制限</x:v>
      </x:c>
      <x:c r="F16" s="188" t="str">
        <x:v>https://drive.google.com/file/d/1wH1nhmsftl6y8Mp7y6twtoXSi6rxqxzT/view</x:v>
      </x:c>
      <x:c r="G16" s="188" t="str">
        <x:v>2026-08-31</x:v>
      </x:c>
      <x:c r="H16" s="188" t="str">
        <x:v>HIGH</x:v>
      </x:c>
      <x:c r="I16" s="189" t="str">
        <x:v>無目露出不可・特殊複合・ガラス/耐荷重</x:v>
      </x:c>
    </x:row>
    <x:row r="17">
      <x:c r="A17" s="35"/>
      <x:c r="B17" s="36"/>
      <x:c r="C17" s="36"/>
      <x:c r="D17" s="36"/>
      <x:c r="E17" s="36"/>
      <x:c r="F17" s="36"/>
      <x:c r="G17" s="36"/>
      <x:c r="H17" s="36"/>
      <x:c r="I17" s="37"/>
    </x:row>
    <x:row r="18">
      <x:c r="A18" s="35"/>
      <x:c r="B18" s="36"/>
      <x:c r="C18" s="36"/>
      <x:c r="D18" s="36"/>
      <x:c r="E18" s="36"/>
      <x:c r="F18" s="36"/>
      <x:c r="G18" s="36"/>
      <x:c r="H18" s="36"/>
      <x:c r="I18" s="37"/>
    </x:row>
    <x:row r="19">
      <x:c r="A19" s="35"/>
      <x:c r="B19" s="36"/>
      <x:c r="C19" s="36"/>
      <x:c r="D19" s="36"/>
      <x:c r="E19" s="36"/>
      <x:c r="F19" s="36"/>
      <x:c r="G19" s="36"/>
      <x:c r="H19" s="36"/>
      <x:c r="I19" s="37"/>
    </x:row>
    <x:row r="20">
      <x:c r="A20" s="38"/>
      <x:c r="B20" s="39"/>
      <x:c r="C20" s="39"/>
      <x:c r="D20" s="39"/>
      <x:c r="E20" s="39"/>
      <x:c r="F20" s="39"/>
      <x:c r="G20" s="39"/>
      <x:c r="H20" s="39"/>
      <x:c r="I20" s="40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82" hidden="0" customWidth="1"/>
    <x:col min="4" max="4" width="28" hidden="0" customWidth="1"/>
  </x:cols>
  <x:sheetData>
    <x:row r="1" ht="28" customHeight="1">
      <x:c r="A1" s="178" t="str">
        <x:v>LIXIL リプラス 浴室仕様｜商品マスター v1.0 完成版 INDEX</x:v>
      </x:c>
      <x:c r="B1" s="178"/>
      <x:c r="C1" s="178"/>
      <x:c r="D1" s="178"/>
    </x:row>
    <x:row r="2" ht="40" customHeight="1">
      <x:c r="A2" s="179" t="str">
        <x:v>浴室固有の『改修モード・既設開口・浴室現場条件』を商品仕様と分離。</x:v>
      </x:c>
      <x:c r="B2" s="179"/>
      <x:c r="C2" s="179"/>
      <x:c r="D2" s="179"/>
    </x:row>
    <x:row r="4" ht="30" customHeight="1">
      <x:c r="A4" s="181" t="str">
        <x:v>項目</x:v>
      </x:c>
      <x:c r="B4" s="182" t="str">
        <x:v>状態</x:v>
      </x:c>
      <x:c r="C4" s="182" t="str">
        <x:v>内容</x:v>
      </x:c>
      <x:c r="D4" s="183" t="str">
        <x:v>Evidence</x:v>
      </x:c>
    </x:row>
    <x:row r="5">
      <x:c r="A5" s="184" t="str">
        <x:v>対象</x:v>
      </x:c>
      <x:c r="B5" s="185" t="str">
        <x:v>LIXIL リプラス</x:v>
      </x:c>
      <x:c r="C5" s="185" t="str">
        <x:v>浴室仕様（RPL_BATH）</x:v>
      </x:c>
      <x:c r="D5" s="186" t="str">
        <x:v>v1.0 完成版</x:v>
      </x:c>
    </x:row>
    <x:row r="6">
      <x:c r="A6" s="184" t="str">
        <x:v>installation_system</x:v>
      </x:c>
      <x:c r="B6" s="185" t="str">
        <x:v>RPL_DIRECT</x:v>
      </x:c>
      <x:c r="C6" s="185" t="str">
        <x:v>リプラス専用取替枠</x:v>
      </x:c>
      <x:c r="D6" s="186" t="str">
        <x:v>既存構造継承</x:v>
      </x:c>
    </x:row>
    <x:row r="7">
      <x:c r="A7" s="184" t="str">
        <x:v>商品体系</x:v>
      </x:c>
      <x:c r="B7" s="185" t="str">
        <x:v>COMPLETE</x:v>
      </x:c>
      <x:c r="C7" s="185" t="str">
        <x:v>浴室専用8窓種＋開口縮小/連窓/段窓レイヤー</x:v>
      </x:c>
      <x:c r="D7" s="186" t="str">
        <x:v>BATH-EV-002,003</x:v>
      </x:c>
    </x:row>
    <x:row r="8">
      <x:c r="A8" s="184" t="str">
        <x:v>窓種</x:v>
      </x:c>
      <x:c r="B8" s="185" t="str">
        <x:v>COMPLETE</x:v>
      </x:c>
      <x:c r="C8" s="185" t="str">
        <x:v>引違い、縦すべり2、横すべり2、上げ下げFS、FIX外/内</x:v>
      </x:c>
      <x:c r="D8" s="186" t="str">
        <x:v>BATH-EV-003,007,008</x:v>
      </x:c>
    </x:row>
    <x:row r="9">
      <x:c r="A9" s="184" t="str">
        <x:v>枠</x:v>
      </x:c>
      <x:c r="B9" s="185" t="str">
        <x:v>COMPLETE</x:v>
      </x:c>
      <x:c r="C9" s="185" t="str">
        <x:v>引違いのみ標準/ブリッジ、他7窓種は標準固定</x:v>
      </x:c>
      <x:c r="D9" s="186" t="str">
        <x:v>BATH-EV-003,006</x:v>
      </x:c>
    </x:row>
    <x:row r="10">
      <x:c r="A10" s="184" t="str">
        <x:v>改修モード</x:v>
      </x:c>
      <x:c r="B10" s="185" t="str">
        <x:v>COMPLETE</x:v>
      </x:c>
      <x:c r="C10" s="185" t="str">
        <x:v>システムバス同時交換 / 窓単独交換</x:v>
      </x:c>
      <x:c r="D10" s="186" t="str">
        <x:v>BATH-EV-003,009</x:v>
      </x:c>
    </x:row>
    <x:row r="11">
      <x:c r="A11" s="184" t="str">
        <x:v>既設開口</x:v>
      </x:c>
      <x:c r="B11" s="185" t="str">
        <x:v>COMPLETE</x:v>
      </x:c>
      <x:c r="C11" s="185" t="str">
        <x:v>全面95/195、片寄左右95/195、くり抜き</x:v>
      </x:c>
      <x:c r="D11" s="186" t="str">
        <x:v>BATH-EV-003,009</x:v>
      </x:c>
    </x:row>
    <x:row r="12">
      <x:c r="A12" s="184" t="str">
        <x:v>サイズ</x:v>
      </x:c>
      <x:c r="B12" s="185" t="str">
        <x:v>COMPLETE</x:v>
      </x:c>
      <x:c r="C12" s="185" t="str">
        <x:v>WS/HS→WD/HD、開口タイプ別製作域・公開式/点</x:v>
      </x:c>
      <x:c r="D12" s="186" t="str">
        <x:v>BATH-EV-006,007,008</x:v>
      </x:c>
    </x:row>
    <x:row r="13">
      <x:c r="A13" s="184" t="str">
        <x:v>色</x:v>
      </x:c>
      <x:c r="B13" s="185" t="str">
        <x:v>COMPLETE</x:v>
      </x:c>
      <x:c r="C13" s="185" t="str">
        <x:v>外観5色×内観2色自由、カバー5色、窓単独樹脂アングル2色</x:v>
      </x:c>
      <x:c r="D13" s="186" t="str">
        <x:v>BATH-EV-003,004</x:v>
      </x:c>
    </x:row>
    <x:row r="14">
      <x:c r="A14" s="184" t="str">
        <x:v>網戸</x:v>
      </x:c>
      <x:c r="B14" s="185" t="str">
        <x:v>COMPLETE</x:v>
      </x:c>
      <x:c r="C14" s="185" t="str">
        <x:v>窓種別形式＋ネット適用、引違いは中桟無のみ</x:v>
      </x:c>
      <x:c r="D14" s="186" t="str">
        <x:v>BATH-EV-004,005</x:v>
      </x:c>
    </x:row>
    <x:row r="15">
      <x:c r="A15" s="184" t="str">
        <x:v>ガラス</x:v>
      </x:c>
      <x:c r="B15" s="185" t="str">
        <x:v>COMPLETE</x:v>
      </x:c>
      <x:c r="C15" s="185" t="str">
        <x:v>一般複層/Low-E複層＋上げ下げFSのみトリプル</x:v>
      </x:c>
      <x:c r="D15" s="186" t="str">
        <x:v>BATH-EV-004,010</x:v>
      </x:c>
    </x:row>
    <x:row r="16">
      <x:c r="A16" s="184" t="str">
        <x:v>浴室現場条件</x:v>
      </x:c>
      <x:c r="B16" s="185" t="str">
        <x:v>COMPLETE</x:v>
      </x:c>
      <x:c r="C16" s="185" t="str">
        <x:v>在来→SB / SB→SB / 窓単独、壁・額縁・施工スペース条件</x:v>
      </x:c>
      <x:c r="D16" s="186" t="str">
        <x:v>BATH-EV-009</x:v>
      </x:c>
    </x:row>
    <x:row r="17">
      <x:c r="A17" s="184" t="str">
        <x:v>OP</x:v>
      </x:c>
      <x:c r="B17" s="185" t="str">
        <x:v>COMPLETE</x:v>
      </x:c>
      <x:c r="C17" s="185" t="str">
        <x:v>既設上枠ベース、樹脂アングル、換気部材、網戸溝カバー等</x:v>
      </x:c>
      <x:c r="D17" s="186" t="str">
        <x:v>BATH-EV-005,011</x:v>
      </x:c>
    </x:row>
    <x:row r="18">
      <x:c r="A18" s="184" t="str">
        <x:v>特殊境界</x:v>
      </x:c>
      <x:c r="B18" s="185" t="str">
        <x:v>COMPLETE_WITH_EXTERNAL_CHECK</x:v>
      </x:c>
      <x:c r="C18" s="185" t="str">
        <x:v>内嵌め網掛け、連段/開口縮小複合、ガラス面積/耐風圧</x:v>
      </x:c>
      <x:c r="D18" s="186" t="str">
        <x:v>BATH-EV-006,007,008,012</x:v>
      </x:c>
    </x:row>
    <x:row r="19">
      <x:c r="A19" s="187" t="str">
        <x:v>Evidence</x:v>
      </x:c>
      <x:c r="B19" s="188" t="str">
        <x:v>COMPLETE</x:v>
      </x:c>
      <x:c r="C19" s="188" t="str">
        <x:v>BATH-EV-001～012</x:v>
      </x:c>
      <x:c r="D19" s="189" t="str">
        <x:v>—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8" hidden="0" customWidth="1"/>
  </x:cols>
  <x:sheetData>
    <x:row r="1" ht="28" customHeight="1">
      <x:c r="A1" s="178" t="str">
        <x:v>00_README｜LIXIL リプラス 浴室仕様 v1.0 完成版</x:v>
      </x:c>
      <x:c r="B1" s="178"/>
    </x:row>
    <x:row r="2" ht="34" customHeight="1">
      <x:c r="A2" s="11"/>
      <x:c r="B2" s="11"/>
    </x:row>
    <x:row r="3">
      <x:c r="A3" s="181" t="str">
        <x:v>キー</x:v>
      </x:c>
      <x:c r="B3" s="183" t="str">
        <x:v>内容</x:v>
      </x:c>
    </x:row>
    <x:row r="4" ht="30" customHeight="1">
      <x:c r="A4" s="196" t="str">
        <x:v>master_id</x:v>
      </x:c>
      <x:c r="B4" s="197" t="str">
        <x:v>LIXIL_RPL_BATH_V1_0</x:v>
      </x:c>
    </x:row>
    <x:row r="5">
      <x:c r="A5" s="184" t="str">
        <x:v>manufacturer</x:v>
      </x:c>
      <x:c r="B5" s="186" t="str">
        <x:v>LIXIL</x:v>
      </x:c>
    </x:row>
    <x:row r="6">
      <x:c r="A6" s="184" t="str">
        <x:v>series</x:v>
      </x:c>
      <x:c r="B6" s="186" t="str">
        <x:v>リプラス</x:v>
      </x:c>
    </x:row>
    <x:row r="7">
      <x:c r="A7" s="184" t="str">
        <x:v>installation_system</x:v>
      </x:c>
      <x:c r="B7" s="186" t="str">
        <x:v>RPL_DIRECT / リプラス専用取替枠</x:v>
      </x:c>
    </x:row>
    <x:row r="8">
      <x:c r="A8" s="184" t="str">
        <x:v>variation</x:v>
      </x:c>
      <x:c r="B8" s="186" t="str">
        <x:v>RPL_BATH / 浴室仕様</x:v>
      </x:c>
    </x:row>
    <x:row r="9">
      <x:c r="A9" s="184" t="str">
        <x:v>window_scope</x:v>
      </x:c>
      <x:c r="B9" s="186" t="str">
        <x:v>8窓種。引違い窓はマドタイプ2枚建のみ</x:v>
      </x:c>
    </x:row>
    <x:row r="10">
      <x:c r="A10" s="184" t="str">
        <x:v>frame_policy</x:v>
      </x:c>
      <x:c r="B10" s="186" t="str">
        <x:v>引違い窓のみ標準枠/ブリッジ枠。その他7窓種は標準枠固定</x:v>
      </x:c>
    </x:row>
    <x:row r="11">
      <x:c r="A11" s="184" t="str">
        <x:v>dimension_basis</x:v>
      </x:c>
      <x:c r="B11" s="186" t="str">
        <x:v>採寸WS/HSと出来寸WD/HDを分離</x:v>
      </x:c>
    </x:row>
    <x:row r="12">
      <x:c r="A12" s="184" t="str">
        <x:v>size_formula</x:v>
      </x:c>
      <x:c r="B12" s="186" t="str">
        <x:v>WD=WS-10、HD=HS-10（浴室公式資料で確認）</x:v>
      </x:c>
    </x:row>
    <x:row r="13">
      <x:c r="A13" s="184" t="str">
        <x:v>bathroom_mode</x:v>
      </x:c>
      <x:c r="B13" s="186" t="str">
        <x:v>SYSTEM_BATH_SIMULTANEOUS / WINDOW_ONLY</x:v>
      </x:c>
    </x:row>
    <x:row r="14">
      <x:c r="A14" s="184" t="str">
        <x:v>glass_policy</x:v>
      </x:c>
      <x:c r="B14" s="186" t="str">
        <x:v>一般複層/Low-E複層。上げ下げ窓FSのみトリプル追加</x:v>
      </x:c>
    </x:row>
    <x:row r="15">
      <x:c r="A15" s="184" t="str">
        <x:v>system_bath_trim_policy</x:v>
      </x:c>
      <x:c r="B15" s="186" t="str">
        <x:v>SB同時交換の額縁はシステムバス側オプション。リプラスUIでは非表示</x:v>
      </x:c>
    </x:row>
    <x:row r="16">
      <x:c r="A16" s="184" t="str">
        <x:v>normal_ui_policy</x:v>
      </x:c>
      <x:c r="B16" s="186" t="str">
        <x:v>選択不可候補は非表示。浴室現場条件は別レイヤー</x:v>
      </x:c>
    </x:row>
    <x:row r="17">
      <x:c r="A17" s="184" t="str">
        <x:v>external_check_policy</x:v>
      </x:c>
      <x:c r="B17" s="186" t="str">
        <x:v>内嵌め網掛け、連段/開口縮小複合、ガラス面積/耐荷重、耐風圧、特殊防水納まりは公式確認</x:v>
      </x:c>
    </x:row>
    <x:row r="18">
      <x:c r="A18" s="184" t="str">
        <x:v>completion_status</x:v>
      </x:c>
      <x:c r="B18" s="186" t="str">
        <x:v>COMPLETE</x:v>
      </x:c>
    </x:row>
    <x:row r="19">
      <x:c r="A19" s="187" t="str">
        <x:v>canonical_destination</x:v>
      </x:c>
      <x:c r="B19" s="189" t="str">
        <x:v>01_住宅サッシ / 04_商品マスター / 01_LIXIL / リプラス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30" hidden="0" customWidth="1"/>
    <x:col min="4" max="4" width="48" hidden="0" customWidth="1"/>
    <x:col min="5" max="5" width="70" hidden="0" customWidth="1"/>
  </x:cols>
  <x:sheetData>
    <x:row r="1" ht="28" customHeight="1">
      <x:c r="A1" s="178" t="str">
        <x:v>01_入力フロー｜浴室仕様</x:v>
      </x:c>
      <x:c r="B1" s="178"/>
      <x:c r="C1" s="178"/>
      <x:c r="D1" s="178"/>
      <x:c r="E1" s="178"/>
    </x:row>
    <x:row r="3" ht="30" customHeight="1">
      <x:c r="A3" s="181" t="str">
        <x:v>順序</x:v>
      </x:c>
      <x:c r="B3" s="182" t="str">
        <x:v>表示項目</x:v>
      </x:c>
      <x:c r="C3" s="182" t="str">
        <x:v>データキー</x:v>
      </x:c>
      <x:c r="D3" s="182" t="str">
        <x:v>候補/入力</x:v>
      </x:c>
      <x:c r="E3" s="183" t="str">
        <x:v>制御</x:v>
      </x:c>
    </x:row>
    <x:row r="4">
      <x:c r="A4" s="184" t="n">
        <x:v>1</x:v>
      </x:c>
      <x:c r="B4" s="185" t="str">
        <x:v>取替方式</x:v>
      </x:c>
      <x:c r="C4" s="185" t="str">
        <x:v>installation_system_id</x:v>
      </x:c>
      <x:c r="D4" s="185" t="str">
        <x:v>RPL_DIRECT</x:v>
      </x:c>
      <x:c r="E4" s="186" t="str">
        <x:v>固定</x:v>
      </x:c>
    </x:row>
    <x:row r="5">
      <x:c r="A5" s="184" t="n">
        <x:v>2</x:v>
      </x:c>
      <x:c r="B5" s="185" t="str">
        <x:v>仕様区分</x:v>
      </x:c>
      <x:c r="C5" s="185" t="str">
        <x:v>variation_id</x:v>
      </x:c>
      <x:c r="D5" s="185" t="str">
        <x:v>RPL_BATH</x:v>
      </x:c>
      <x:c r="E5" s="186" t="str">
        <x:v>固定</x:v>
      </x:c>
    </x:row>
    <x:row r="6">
      <x:c r="A6" s="184" t="n">
        <x:v>3</x:v>
      </x:c>
      <x:c r="B6" s="185" t="str">
        <x:v>浴室改修モード</x:v>
      </x:c>
      <x:c r="C6" s="185" t="str">
        <x:v>bathroom_remodel_mode</x:v>
      </x:c>
      <x:c r="D6" s="185" t="str">
        <x:v>SB同時交換 / 窓単独交換</x:v>
      </x:c>
      <x:c r="E6" s="186" t="str">
        <x:v>浴室現調と連動</x:v>
      </x:c>
    </x:row>
    <x:row r="7">
      <x:c r="A7" s="184" t="n">
        <x:v>4</x:v>
      </x:c>
      <x:c r="B7" s="185" t="str">
        <x:v>既設開口パターン</x:v>
      </x:c>
      <x:c r="C7" s="185" t="str">
        <x:v>bathroom_opening_pattern</x:v>
      </x:c>
      <x:c r="D7" s="185" t="str">
        <x:v>全面/片寄左右/くり抜き</x:v>
      </x:c>
      <x:c r="E7" s="186" t="str">
        <x:v>SB同時交換時</x:v>
      </x:c>
    </x:row>
    <x:row r="8">
      <x:c r="A8" s="184" t="n">
        <x:v>5</x:v>
      </x:c>
      <x:c r="B8" s="185" t="str">
        <x:v>開口構成</x:v>
      </x:c>
      <x:c r="C8" s="185" t="str">
        <x:v>opening_configuration</x:v>
      </x:c>
      <x:c r="D8" s="185" t="str">
        <x:v>単窓/開口縮小/連窓/段窓</x:v>
      </x:c>
      <x:c r="E8" s="186" t="str">
        <x:v>必要時表示</x:v>
      </x:c>
    </x:row>
    <x:row r="9">
      <x:c r="A9" s="184" t="n">
        <x:v>6</x:v>
      </x:c>
      <x:c r="B9" s="185" t="str">
        <x:v>窓種</x:v>
      </x:c>
      <x:c r="C9" s="185" t="str">
        <x:v>window_type_id</x:v>
      </x:c>
      <x:c r="D9" s="185" t="str">
        <x:v>浴室8窓種</x:v>
      </x:c>
      <x:c r="E9" s="186" t="str">
        <x:v>条件で絞込</x:v>
      </x:c>
    </x:row>
    <x:row r="10">
      <x:c r="A10" s="184" t="n">
        <x:v>7</x:v>
      </x:c>
      <x:c r="B10" s="185" t="str">
        <x:v>枠</x:v>
      </x:c>
      <x:c r="C10" s="185" t="str">
        <x:v>frame_type</x:v>
      </x:c>
      <x:c r="D10" s="185" t="str">
        <x:v>標準 / ブリッジ</x:v>
      </x:c>
      <x:c r="E10" s="186" t="str">
        <x:v>引違いのみブリッジ表示</x:v>
      </x:c>
    </x:row>
    <x:row r="11">
      <x:c r="A11" s="184" t="n">
        <x:v>8</x:v>
      </x:c>
      <x:c r="B11" s="185" t="str">
        <x:v>窓種固有仕様</x:v>
      </x:c>
      <x:c r="C11" s="185" t="str">
        <x:v>window_specific</x:v>
      </x:c>
      <x:c r="D11" s="185" t="str">
        <x:v>操作方式・建数等</x:v>
      </x:c>
      <x:c r="E11" s="186" t="str">
        <x:v>引違い2枚建固定</x:v>
      </x:c>
    </x:row>
    <x:row r="12">
      <x:c r="A12" s="184" t="n">
        <x:v>9</x:v>
      </x:c>
      <x:c r="B12" s="185" t="str">
        <x:v>採寸W/H</x:v>
      </x:c>
      <x:c r="C12" s="185" t="str">
        <x:v>survey_w / survey_h</x:v>
      </x:c>
      <x:c r="D12" s="185" t="str">
        <x:v>現場入力</x:v>
      </x:c>
      <x:c r="E12" s="186" t="str">
        <x:v>3点採寸</x:v>
      </x:c>
    </x:row>
    <x:row r="13">
      <x:c r="A13" s="184" t="n">
        <x:v>10</x:v>
      </x:c>
      <x:c r="B13" s="185" t="str">
        <x:v>出来寸W/H</x:v>
      </x:c>
      <x:c r="C13" s="185" t="str">
        <x:v>finished_w / finished_h</x:v>
      </x:c>
      <x:c r="D13" s="185" t="str">
        <x:v>自動算出</x:v>
      </x:c>
      <x:c r="E13" s="186" t="str">
        <x:v>WD=WS-10 / HD=HS-10</x:v>
      </x:c>
    </x:row>
    <x:row r="14">
      <x:c r="A14" s="184" t="n">
        <x:v>11</x:v>
      </x:c>
      <x:c r="B14" s="185" t="str">
        <x:v>外観色</x:v>
      </x:c>
      <x:c r="C14" s="185" t="str">
        <x:v>sash_exterior_color</x:v>
      </x:c>
      <x:c r="D14" s="185" t="str">
        <x:v>5色</x:v>
      </x:c>
      <x:c r="E14" s="186" t="str">
        <x:v>公式色</x:v>
      </x:c>
    </x:row>
    <x:row r="15">
      <x:c r="A15" s="184" t="n">
        <x:v>12</x:v>
      </x:c>
      <x:c r="B15" s="185" t="str">
        <x:v>内観色</x:v>
      </x:c>
      <x:c r="C15" s="185" t="str">
        <x:v>sash_interior_color</x:v>
      </x:c>
      <x:c r="D15" s="185" t="str">
        <x:v>ブラック/プレシャスホワイトP</x:v>
      </x:c>
      <x:c r="E15" s="186" t="str">
        <x:v>外観と自由組合せ</x:v>
      </x:c>
    </x:row>
    <x:row r="16">
      <x:c r="A16" s="184" t="n">
        <x:v>13</x:v>
      </x:c>
      <x:c r="B16" s="185" t="str">
        <x:v>網戸</x:v>
      </x:c>
      <x:c r="C16" s="185" t="str">
        <x:v>screen_configuration</x:v>
      </x:c>
      <x:c r="D16" s="185" t="str">
        <x:v>窓種別形式</x:v>
      </x:c>
      <x:c r="E16" s="186" t="str">
        <x:v>FIX非表示</x:v>
      </x:c>
    </x:row>
    <x:row r="17">
      <x:c r="A17" s="184" t="n">
        <x:v>14</x:v>
      </x:c>
      <x:c r="B17" s="185" t="str">
        <x:v>ネット</x:v>
      </x:c>
      <x:c r="C17" s="185" t="str">
        <x:v>screen_mesh</x:v>
      </x:c>
      <x:c r="D17" s="185" t="str">
        <x:v>標準/きれい/虫イヤ/ペット</x:v>
      </x:c>
      <x:c r="E17" s="186" t="str">
        <x:v>網戸形式で絞込</x:v>
      </x:c>
    </x:row>
    <x:row r="18">
      <x:c r="A18" s="184" t="n">
        <x:v>15</x:v>
      </x:c>
      <x:c r="B18" s="185" t="str">
        <x:v>ガラス大分類</x:v>
      </x:c>
      <x:c r="C18" s="185" t="str">
        <x:v>glass_category</x:v>
      </x:c>
      <x:c r="D18" s="185" t="str">
        <x:v>一般複層/Low-E複層/トリプル</x:v>
      </x:c>
      <x:c r="E18" s="186" t="str">
        <x:v>トリプルはDHFSのみ</x:v>
      </x:c>
    </x:row>
    <x:row r="19">
      <x:c r="A19" s="184" t="n">
        <x:v>16</x:v>
      </x:c>
      <x:c r="B19" s="185" t="str">
        <x:v>ガラス詳細</x:v>
      </x:c>
      <x:c r="C19" s="185" t="str">
        <x:v>glass_detail</x:v>
      </x:c>
      <x:c r="D19" s="185" t="str">
        <x:v>色・仕上げ・追加機能</x:v>
      </x:c>
      <x:c r="E19" s="186" t="str">
        <x:v>条件絞込</x:v>
      </x:c>
    </x:row>
    <x:row r="20">
      <x:c r="A20" s="184" t="n">
        <x:v>17</x:v>
      </x:c>
      <x:c r="B20" s="185" t="str">
        <x:v>中空層/スペーサー</x:v>
      </x:c>
      <x:c r="C20" s="185" t="str">
        <x:v>gas/spacer</x:v>
      </x:c>
      <x:c r="D20" s="185" t="str">
        <x:v>公式組合せ</x:v>
      </x:c>
      <x:c r="E20" s="186" t="str">
        <x:v>ブリッジは樹脂スペーサー固定</x:v>
      </x:c>
    </x:row>
    <x:row r="21">
      <x:c r="A21" s="184" t="n">
        <x:v>18</x:v>
      </x:c>
      <x:c r="B21" s="185" t="str">
        <x:v>オプション</x:v>
      </x:c>
      <x:c r="C21" s="185" t="str">
        <x:v>option_id</x:v>
      </x:c>
      <x:c r="D21" s="185" t="str">
        <x:v>浴室適用品のみ</x:v>
      </x:c>
      <x:c r="E21" s="186" t="str">
        <x:v>依存ルール</x:v>
      </x:c>
    </x:row>
    <x:row r="22">
      <x:c r="A22" s="187" t="n">
        <x:v>19</x:v>
      </x:c>
      <x:c r="B22" s="188" t="str">
        <x:v>浴室現場・施工判定</x:v>
      </x:c>
      <x:c r="C22" s="188" t="str">
        <x:v>bathroom/survey/installation_condition</x:v>
      </x:c>
      <x:c r="D22" s="188" t="str">
        <x:v>別UI</x:v>
      </x:c>
      <x:c r="E22" s="189" t="str">
        <x:v>商品仕様と分離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18" hidden="0" customWidth="1"/>
    <x:col min="5" max="5" width="22" hidden="0" customWidth="1"/>
    <x:col min="6" max="6" width="20" hidden="0" customWidth="1"/>
    <x:col min="7" max="7" width="14" hidden="0" customWidth="1"/>
    <x:col min="8" max="8" width="14" hidden="0" customWidth="1"/>
  </x:cols>
  <x:sheetData>
    <x:row r="1" ht="28" customHeight="1">
      <x:c r="A1" s="178" t="str">
        <x:v>02_取替方式｜浴室仕様</x:v>
      </x:c>
      <x:c r="B1" s="178"/>
      <x:c r="C1" s="178"/>
      <x:c r="D1" s="178"/>
      <x:c r="E1" s="178"/>
      <x:c r="F1" s="178"/>
      <x:c r="G1" s="4"/>
      <x:c r="H1" s="4"/>
    </x:row>
    <x:row r="3" ht="30" customHeight="1">
      <x:c r="A3" s="181" t="str">
        <x:v>installation_system_id</x:v>
      </x:c>
      <x:c r="B3" s="182" t="str">
        <x:v>名称</x:v>
      </x:c>
      <x:c r="C3" s="182" t="str">
        <x:v>variation</x:v>
      </x:c>
      <x:c r="D3" s="182" t="str">
        <x:v>今回範囲</x:v>
      </x:c>
      <x:c r="E3" s="182" t="str">
        <x:v>status</x:v>
      </x:c>
      <x:c r="F3" s="183" t="str">
        <x:v>evidence</x:v>
      </x:c>
      <x:c r="G3" s="33"/>
      <x:c r="H3" s="34"/>
    </x:row>
    <x:row r="4">
      <x:c r="A4" s="184" t="str">
        <x:v>RPL_DIRECT</x:v>
      </x:c>
      <x:c r="B4" s="185" t="str">
        <x:v>リプラス専用取替枠</x:v>
      </x:c>
      <x:c r="C4" s="185" t="str">
        <x:v>RPL_BATH</x:v>
      </x:c>
      <x:c r="D4" s="185" t="str">
        <x:v>対象</x:v>
      </x:c>
      <x:c r="E4" s="185" t="str">
        <x:v>COMPLETE</x:v>
      </x:c>
      <x:c r="F4" s="186" t="str">
        <x:v>BATH-EV-002</x:v>
      </x:c>
      <x:c r="G4" s="36"/>
      <x:c r="H4" s="37"/>
    </x:row>
    <x:row r="5">
      <x:c r="A5" s="184" t="str">
        <x:v>RPL_ATT_TW</x:v>
      </x:c>
      <x:c r="B5" s="185" t="str">
        <x:v>アタッチ枠（TW用）</x:v>
      </x:c>
      <x:c r="C5" s="185" t="str">
        <x:v>—</x:v>
      </x:c>
      <x:c r="D5" s="185" t="str">
        <x:v>対象外</x:v>
      </x:c>
      <x:c r="E5" s="185" t="str">
        <x:v>NOT_APPLICABLE</x:v>
      </x:c>
      <x:c r="F5" s="186" t="str">
        <x:v>BATH-EV-002</x:v>
      </x:c>
      <x:c r="G5" s="36"/>
      <x:c r="H5" s="37"/>
    </x:row>
    <x:row r="6">
      <x:c r="A6" s="187" t="str">
        <x:v>RPL_ATT_TH</x:v>
      </x:c>
      <x:c r="B6" s="188" t="str">
        <x:v>アタッチ枠（サーモス用）</x:v>
      </x:c>
      <x:c r="C6" s="188" t="str">
        <x:v>—</x:v>
      </x:c>
      <x:c r="D6" s="188" t="str">
        <x:v>対象外</x:v>
      </x:c>
      <x:c r="E6" s="188" t="str">
        <x:v>NOT_APPLICABLE</x:v>
      </x:c>
      <x:c r="F6" s="189" t="str">
        <x:v>BATH-EV-002</x:v>
      </x:c>
      <x:c r="G6" s="36"/>
      <x:c r="H6" s="37"/>
    </x:row>
    <x:row r="7">
      <x:c r="A7" s="38"/>
      <x:c r="B7" s="39"/>
      <x:c r="C7" s="39"/>
      <x:c r="D7" s="39"/>
      <x:c r="E7" s="39"/>
      <x:c r="F7" s="39"/>
      <x:c r="G7" s="39"/>
      <x:c r="H7" s="40"/>
    </x:row>
  </x:sheetData>
  <x:mergeCells>
    <x:mergeCell ref="A1:H1"/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18" hidden="0" customWidth="1"/>
    <x:col min="5" max="5" width="18" hidden="0" customWidth="1"/>
    <x:col min="6" max="6" width="22" hidden="0" customWidth="1"/>
    <x:col min="7" max="7" width="14" hidden="0" customWidth="1"/>
  </x:cols>
  <x:sheetData>
    <x:row r="1" ht="28" customHeight="1">
      <x:c r="A1" s="178" t="str">
        <x:v>02A_仕様区分｜浴室仕様</x:v>
      </x:c>
      <x:c r="B1" s="178"/>
      <x:c r="C1" s="178"/>
      <x:c r="D1" s="178"/>
      <x:c r="E1" s="178"/>
      <x:c r="F1" s="178"/>
      <x:c r="G1" s="4"/>
    </x:row>
    <x:row r="3" ht="30" customHeight="1">
      <x:c r="A3" s="181" t="str">
        <x:v>variation_id</x:v>
      </x:c>
      <x:c r="B3" s="182" t="str">
        <x:v>公式名称</x:v>
      </x:c>
      <x:c r="C3" s="182" t="str">
        <x:v>installation_system_id</x:v>
      </x:c>
      <x:c r="D3" s="182" t="str">
        <x:v>用途</x:v>
      </x:c>
      <x:c r="E3" s="182" t="str">
        <x:v>status</x:v>
      </x:c>
      <x:c r="F3" s="183" t="str">
        <x:v>evidence</x:v>
      </x:c>
      <x:c r="G3" s="34"/>
    </x:row>
    <x:row r="4">
      <x:c r="A4" s="187" t="str">
        <x:v>RPL_BATH</x:v>
      </x:c>
      <x:c r="B4" s="188" t="str">
        <x:v>浴室仕様</x:v>
      </x:c>
      <x:c r="C4" s="188" t="str">
        <x:v>RPL_DIRECT</x:v>
      </x:c>
      <x:c r="D4" s="188" t="str">
        <x:v>浴室</x:v>
      </x:c>
      <x:c r="E4" s="188" t="str">
        <x:v>COMPLETE</x:v>
      </x:c>
      <x:c r="F4" s="189" t="str">
        <x:v>BATH-EV-002,003,004</x:v>
      </x:c>
      <x:c r="G4" s="37"/>
    </x:row>
    <x:row r="5">
      <x:c r="A5" s="35"/>
      <x:c r="B5" s="36"/>
      <x:c r="C5" s="36"/>
      <x:c r="D5" s="36"/>
      <x:c r="E5" s="36"/>
      <x:c r="F5" s="36"/>
      <x:c r="G5" s="37"/>
    </x:row>
    <x:row r="6">
      <x:c r="A6" s="35"/>
      <x:c r="B6" s="36"/>
      <x:c r="C6" s="36"/>
      <x:c r="D6" s="36"/>
      <x:c r="E6" s="36"/>
      <x:c r="F6" s="36"/>
      <x:c r="G6" s="37"/>
    </x:row>
    <x:row r="7">
      <x:c r="A7" s="38"/>
      <x:c r="B7" s="39"/>
      <x:c r="C7" s="39"/>
      <x:c r="D7" s="39"/>
      <x:c r="E7" s="39"/>
      <x:c r="F7" s="39"/>
      <x:c r="G7" s="40"/>
    </x:row>
  </x:sheetData>
  <x:mergeCells>
    <x:mergeCell ref="A1:G1"/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18" hidden="0" customWidth="1"/>
    <x:col min="4" max="4" width="20" hidden="0" customWidth="1"/>
    <x:col min="5" max="5" width="48" hidden="0" customWidth="1"/>
    <x:col min="6" max="6" width="18" hidden="0" customWidth="1"/>
    <x:col min="7" max="7" width="22" hidden="0" customWidth="1"/>
  </x:cols>
  <x:sheetData>
    <x:row r="1" ht="28" customHeight="1">
      <x:c r="A1" s="178" t="str">
        <x:v>03_窓種｜浴室仕様</x:v>
      </x:c>
      <x:c r="B1" s="178"/>
      <x:c r="C1" s="178"/>
      <x:c r="D1" s="178"/>
      <x:c r="E1" s="178"/>
      <x:c r="F1" s="178"/>
      <x:c r="G1" s="178"/>
    </x:row>
    <x:row r="2" ht="34" customHeight="1">
      <x:c r="A2" s="11"/>
      <x:c r="B2" s="11"/>
      <x:c r="C2" s="11"/>
      <x:c r="D2" s="11"/>
      <x:c r="E2" s="11"/>
      <x:c r="F2" s="11"/>
      <x:c r="G2" s="11"/>
    </x:row>
    <x:row r="3">
      <x:c r="A3" s="181" t="str">
        <x:v>window_type_id</x:v>
      </x:c>
      <x:c r="B3" s="182" t="str">
        <x:v>公式名称</x:v>
      </x:c>
      <x:c r="C3" s="182" t="str">
        <x:v>分類</x:v>
      </x:c>
      <x:c r="D3" s="182" t="str">
        <x:v>操作方式</x:v>
      </x:c>
      <x:c r="E3" s="182" t="str">
        <x:v>固有構成</x:v>
      </x:c>
      <x:c r="F3" s="182" t="str">
        <x:v>status</x:v>
      </x:c>
      <x:c r="G3" s="183" t="str">
        <x:v>evidence</x:v>
      </x:c>
    </x:row>
    <x:row r="4" ht="30" customHeight="1">
      <x:c r="A4" s="196" t="str">
        <x:v>RPL_BATH_SLD</x:v>
      </x:c>
      <x:c r="B4" s="198" t="str">
        <x:v>引違い窓</x:v>
      </x:c>
      <x:c r="C4" s="198" t="str">
        <x:v>引違い</x:v>
      </x:c>
      <x:c r="D4" s="198" t="str">
        <x:v>—</x:v>
      </x:c>
      <x:c r="E4" s="198" t="str">
        <x:v>2枚建・マド</x:v>
      </x:c>
      <x:c r="F4" s="198" t="str">
        <x:v>COMPLETE</x:v>
      </x:c>
      <x:c r="G4" s="197" t="str">
        <x:v>BATH-EV-003,006</x:v>
      </x:c>
    </x:row>
    <x:row r="5">
      <x:c r="A5" s="184" t="str">
        <x:v>RPL_BATH_VSOP</x:v>
      </x:c>
      <x:c r="B5" s="185" t="str">
        <x:v>縦すべり出し窓（オペレーター）</x:v>
      </x:c>
      <x:c r="C5" s="185" t="str">
        <x:v>装飾窓</x:v>
      </x:c>
      <x:c r="D5" s="185" t="str">
        <x:v>オペレーター</x:v>
      </x:c>
      <x:c r="E5" s="185" t="str">
        <x:v>単窓/TF/TFT</x:v>
      </x:c>
      <x:c r="F5" s="185" t="str">
        <x:v>COMPLETE</x:v>
      </x:c>
      <x:c r="G5" s="186" t="str">
        <x:v>BATH-EV-003,007</x:v>
      </x:c>
    </x:row>
    <x:row r="6">
      <x:c r="A6" s="184" t="str">
        <x:v>RPL_BATH_VSCAM</x:v>
      </x:c>
      <x:c r="B6" s="185" t="str">
        <x:v>縦すべり出し窓（カムラッチ）</x:v>
      </x:c>
      <x:c r="C6" s="185" t="str">
        <x:v>装飾窓</x:v>
      </x:c>
      <x:c r="D6" s="185" t="str">
        <x:v>カムラッチ</x:v>
      </x:c>
      <x:c r="E6" s="185" t="str">
        <x:v>単窓/TF/TFT</x:v>
      </x:c>
      <x:c r="F6" s="185" t="str">
        <x:v>COMPLETE</x:v>
      </x:c>
      <x:c r="G6" s="186" t="str">
        <x:v>BATH-EV-003,007</x:v>
      </x:c>
    </x:row>
    <x:row r="7">
      <x:c r="A7" s="184" t="str">
        <x:v>RPL_BATH_HSOP</x:v>
      </x:c>
      <x:c r="B7" s="185" t="str">
        <x:v>横すべり出し窓（オペレーター）</x:v>
      </x:c>
      <x:c r="C7" s="185" t="str">
        <x:v>装飾窓</x:v>
      </x:c>
      <x:c r="D7" s="185" t="str">
        <x:v>オペレーター</x:v>
      </x:c>
      <x:c r="E7" s="185" t="str">
        <x:v>単窓</x:v>
      </x:c>
      <x:c r="F7" s="185" t="str">
        <x:v>COMPLETE</x:v>
      </x:c>
      <x:c r="G7" s="186" t="str">
        <x:v>BATH-EV-003,007</x:v>
      </x:c>
    </x:row>
    <x:row r="8">
      <x:c r="A8" s="184" t="str">
        <x:v>RPL_BATH_HSCAM</x:v>
      </x:c>
      <x:c r="B8" s="185" t="str">
        <x:v>横すべり出し窓（カムラッチ）</x:v>
      </x:c>
      <x:c r="C8" s="185" t="str">
        <x:v>装飾窓</x:v>
      </x:c>
      <x:c r="D8" s="185" t="str">
        <x:v>カムラッチ</x:v>
      </x:c>
      <x:c r="E8" s="185" t="str">
        <x:v>単窓</x:v>
      </x:c>
      <x:c r="F8" s="185" t="str">
        <x:v>COMPLETE</x:v>
      </x:c>
      <x:c r="G8" s="186" t="str">
        <x:v>BATH-EV-003,007</x:v>
      </x:c>
    </x:row>
    <x:row r="9">
      <x:c r="A9" s="184" t="str">
        <x:v>RPL_BATH_DHFS</x:v>
      </x:c>
      <x:c r="B9" s="185" t="str">
        <x:v>上げ下げ窓FS（フラットスライド）</x:v>
      </x:c>
      <x:c r="C9" s="185" t="str">
        <x:v>装飾窓</x:v>
      </x:c>
      <x:c r="D9" s="185" t="str">
        <x:v>フラットスライド</x:v>
      </x:c>
      <x:c r="E9" s="185" t="str">
        <x:v>単窓</x:v>
      </x:c>
      <x:c r="F9" s="185" t="str">
        <x:v>COMPLETE</x:v>
      </x:c>
      <x:c r="G9" s="186" t="str">
        <x:v>BATH-EV-003,007</x:v>
      </x:c>
    </x:row>
    <x:row r="10">
      <x:c r="A10" s="184" t="str">
        <x:v>RPL_BATH_FIXOUT</x:v>
      </x:c>
      <x:c r="B10" s="185" t="str">
        <x:v>FIX窓（外押縁タイプ）</x:v>
      </x:c>
      <x:c r="C10" s="185" t="str">
        <x:v>FIX</x:v>
      </x:c>
      <x:c r="D10" s="185" t="str">
        <x:v>—</x:v>
      </x:c>
      <x:c r="E10" s="185" t="str">
        <x:v>単窓/連段</x:v>
      </x:c>
      <x:c r="F10" s="185" t="str">
        <x:v>COMPLETE</x:v>
      </x:c>
      <x:c r="G10" s="186" t="str">
        <x:v>BATH-EV-003,008</x:v>
      </x:c>
    </x:row>
    <x:row r="11">
      <x:c r="A11" s="187" t="str">
        <x:v>RPL_BATH_FIXIN</x:v>
      </x:c>
      <x:c r="B11" s="188" t="str">
        <x:v>FIX窓（内押縁タイプ）</x:v>
      </x:c>
      <x:c r="C11" s="188" t="str">
        <x:v>FIX</x:v>
      </x:c>
      <x:c r="D11" s="188" t="str">
        <x:v>—</x:v>
      </x:c>
      <x:c r="E11" s="188" t="str">
        <x:v>単窓/連段</x:v>
      </x:c>
      <x:c r="F11" s="188" t="str">
        <x:v>COMPLETE</x:v>
      </x:c>
      <x:c r="G11" s="189" t="str">
        <x:v>BATH-EV-003,008</x:v>
      </x:c>
    </x:row>
    <x:row r="12">
      <x:c r="A12" s="38"/>
      <x:c r="B12" s="39"/>
      <x:c r="C12" s="39"/>
      <x:c r="D12" s="39"/>
      <x:c r="E12" s="39"/>
      <x:c r="F12" s="39"/>
      <x:c r="G12" s="40"/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48" hidden="0" customWidth="1"/>
    <x:col min="5" max="5" width="16" hidden="0" customWidth="1"/>
    <x:col min="6" max="6" width="18" hidden="0" customWidth="1"/>
    <x:col min="7" max="7" width="22" hidden="0" customWidth="1"/>
  </x:cols>
  <x:sheetData>
    <x:row r="1" ht="28" customHeight="1">
      <x:c r="A1" s="178" t="str">
        <x:v>03A_枠仕様｜浴室仕様</x:v>
      </x:c>
      <x:c r="B1" s="178"/>
      <x:c r="C1" s="178"/>
      <x:c r="D1" s="178"/>
      <x:c r="E1" s="178"/>
      <x:c r="F1" s="178"/>
      <x:c r="G1" s="178"/>
    </x:row>
    <x:row r="3" ht="30" customHeight="1">
      <x:c r="A3" s="181" t="str">
        <x:v>frame_type_id</x:v>
      </x:c>
      <x:c r="B3" s="182" t="str">
        <x:v>公式名称</x:v>
      </x:c>
      <x:c r="C3" s="182" t="str">
        <x:v>ui_mode</x:v>
      </x:c>
      <x:c r="D3" s="182" t="str">
        <x:v>適用</x:v>
      </x:c>
      <x:c r="E3" s="182" t="str">
        <x:v>user_selectable</x:v>
      </x:c>
      <x:c r="F3" s="182" t="str">
        <x:v>status</x:v>
      </x:c>
      <x:c r="G3" s="183" t="str">
        <x:v>evidence</x:v>
      </x:c>
    </x:row>
    <x:row r="4">
      <x:c r="A4" s="184" t="str">
        <x:v>BATH-STD</x:v>
      </x:c>
      <x:c r="B4" s="185" t="str">
        <x:v>標準枠</x:v>
      </x:c>
      <x:c r="C4" s="185" t="str">
        <x:v>USER_SELECT</x:v>
      </x:c>
      <x:c r="D4" s="185" t="str">
        <x:v>全8窓種</x:v>
      </x:c>
      <x:c r="E4" s="201" t="b">
        <x:v>1</x:v>
      </x:c>
      <x:c r="F4" s="185" t="str">
        <x:v>COMPLETE</x:v>
      </x:c>
      <x:c r="G4" s="186" t="str">
        <x:v>BATH-EV-003,006</x:v>
      </x:c>
    </x:row>
    <x:row r="5">
      <x:c r="A5" s="187" t="str">
        <x:v>BATH-BRG</x:v>
      </x:c>
      <x:c r="B5" s="188" t="str">
        <x:v>ブリッジ枠</x:v>
      </x:c>
      <x:c r="C5" s="188" t="str">
        <x:v>USER_SELECT</x:v>
      </x:c>
      <x:c r="D5" s="188" t="str">
        <x:v>引違い窓のみ</x:v>
      </x:c>
      <x:c r="E5" s="202" t="b">
        <x:v>1</x:v>
      </x:c>
      <x:c r="F5" s="188" t="str">
        <x:v>COMPLETE</x:v>
      </x:c>
      <x:c r="G5" s="189" t="str">
        <x:v>BATH-EV-003,006</x:v>
      </x:c>
    </x:row>
  </x:sheetData>
  <x:mergeCells>
    <x:mergeCell ref="A1:F1"/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14" hidden="0" customWidth="1"/>
    <x:col min="5" max="5" width="18" hidden="0" customWidth="1"/>
    <x:col min="6" max="6" width="22" hidden="0" customWidth="1"/>
    <x:col min="7" max="7" width="22" hidden="0" customWidth="1"/>
  </x:cols>
  <x:sheetData>
    <x:row r="1" ht="28" customHeight="1">
      <x:c r="A1" s="178" t="str">
        <x:v>03B_窓種枠設定｜浴室仕様</x:v>
      </x:c>
      <x:c r="B1" s="178"/>
      <x:c r="C1" s="178"/>
      <x:c r="D1" s="178"/>
      <x:c r="E1" s="178"/>
      <x:c r="F1" s="178"/>
      <x:c r="G1" s="178"/>
    </x:row>
    <x:row r="2" ht="34" customHeight="1">
      <x:c r="A2" s="11"/>
      <x:c r="B2" s="11"/>
      <x:c r="C2" s="11"/>
      <x:c r="D2" s="11"/>
      <x:c r="E2" s="11"/>
      <x:c r="F2" s="11"/>
    </x:row>
    <x:row r="3">
      <x:c r="A3" s="181" t="str">
        <x:v>variation_id</x:v>
      </x:c>
      <x:c r="B3" s="182" t="str">
        <x:v>window_type_id</x:v>
      </x:c>
      <x:c r="C3" s="182" t="str">
        <x:v>frame_type_id</x:v>
      </x:c>
      <x:c r="D3" s="182" t="str">
        <x:v>selectable</x:v>
      </x:c>
      <x:c r="E3" s="182" t="str">
        <x:v>ui_action</x:v>
      </x:c>
      <x:c r="F3" s="182" t="str">
        <x:v>status</x:v>
      </x:c>
      <x:c r="G3" s="183" t="str">
        <x:v>evidence</x:v>
      </x:c>
    </x:row>
    <x:row r="4" ht="30" customHeight="1">
      <x:c r="A4" s="196" t="str">
        <x:v>RPL_BATH</x:v>
      </x:c>
      <x:c r="B4" s="198" t="str">
        <x:v>RPL_BATH_SLD</x:v>
      </x:c>
      <x:c r="C4" s="198" t="str">
        <x:v>BATH-STD</x:v>
      </x:c>
      <x:c r="D4" s="207" t="b">
        <x:v>1</x:v>
      </x:c>
      <x:c r="E4" s="198" t="str">
        <x:v>SHOW</x:v>
      </x:c>
      <x:c r="F4" s="198" t="str">
        <x:v>COMPLETE</x:v>
      </x:c>
      <x:c r="G4" s="186" t="str">
        <x:v>BATH-EV-003</x:v>
      </x:c>
    </x:row>
    <x:row r="5">
      <x:c r="A5" s="184" t="str">
        <x:v>RPL_BATH</x:v>
      </x:c>
      <x:c r="B5" s="185" t="str">
        <x:v>RPL_BATH_VSOP</x:v>
      </x:c>
      <x:c r="C5" s="185" t="str">
        <x:v>BATH-STD</x:v>
      </x:c>
      <x:c r="D5" s="201" t="b">
        <x:v>1</x:v>
      </x:c>
      <x:c r="E5" s="185" t="str">
        <x:v>SHOW</x:v>
      </x:c>
      <x:c r="F5" s="185" t="str">
        <x:v>COMPLETE</x:v>
      </x:c>
      <x:c r="G5" s="186" t="str">
        <x:v>BATH-EV-003</x:v>
      </x:c>
    </x:row>
    <x:row r="6">
      <x:c r="A6" s="184" t="str">
        <x:v>RPL_BATH</x:v>
      </x:c>
      <x:c r="B6" s="185" t="str">
        <x:v>RPL_BATH_VSCAM</x:v>
      </x:c>
      <x:c r="C6" s="185" t="str">
        <x:v>BATH-STD</x:v>
      </x:c>
      <x:c r="D6" s="201" t="b">
        <x:v>1</x:v>
      </x:c>
      <x:c r="E6" s="185" t="str">
        <x:v>SHOW</x:v>
      </x:c>
      <x:c r="F6" s="185" t="str">
        <x:v>COMPLETE</x:v>
      </x:c>
      <x:c r="G6" s="186" t="str">
        <x:v>BATH-EV-003</x:v>
      </x:c>
    </x:row>
    <x:row r="7">
      <x:c r="A7" s="184" t="str">
        <x:v>RPL_BATH</x:v>
      </x:c>
      <x:c r="B7" s="185" t="str">
        <x:v>RPL_BATH_HSOP</x:v>
      </x:c>
      <x:c r="C7" s="185" t="str">
        <x:v>BATH-STD</x:v>
      </x:c>
      <x:c r="D7" s="201" t="b">
        <x:v>1</x:v>
      </x:c>
      <x:c r="E7" s="185" t="str">
        <x:v>SHOW</x:v>
      </x:c>
      <x:c r="F7" s="185" t="str">
        <x:v>COMPLETE</x:v>
      </x:c>
      <x:c r="G7" s="186" t="str">
        <x:v>BATH-EV-003</x:v>
      </x:c>
    </x:row>
    <x:row r="8">
      <x:c r="A8" s="184" t="str">
        <x:v>RPL_BATH</x:v>
      </x:c>
      <x:c r="B8" s="185" t="str">
        <x:v>RPL_BATH_HSCAM</x:v>
      </x:c>
      <x:c r="C8" s="185" t="str">
        <x:v>BATH-STD</x:v>
      </x:c>
      <x:c r="D8" s="201" t="b">
        <x:v>1</x:v>
      </x:c>
      <x:c r="E8" s="185" t="str">
        <x:v>SHOW</x:v>
      </x:c>
      <x:c r="F8" s="185" t="str">
        <x:v>COMPLETE</x:v>
      </x:c>
      <x:c r="G8" s="186" t="str">
        <x:v>BATH-EV-003</x:v>
      </x:c>
    </x:row>
    <x:row r="9">
      <x:c r="A9" s="184" t="str">
        <x:v>RPL_BATH</x:v>
      </x:c>
      <x:c r="B9" s="185" t="str">
        <x:v>RPL_BATH_DHFS</x:v>
      </x:c>
      <x:c r="C9" s="185" t="str">
        <x:v>BATH-STD</x:v>
      </x:c>
      <x:c r="D9" s="201" t="b">
        <x:v>1</x:v>
      </x:c>
      <x:c r="E9" s="185" t="str">
        <x:v>SHOW</x:v>
      </x:c>
      <x:c r="F9" s="185" t="str">
        <x:v>COMPLETE</x:v>
      </x:c>
      <x:c r="G9" s="186" t="str">
        <x:v>BATH-EV-003</x:v>
      </x:c>
    </x:row>
    <x:row r="10">
      <x:c r="A10" s="184" t="str">
        <x:v>RPL_BATH</x:v>
      </x:c>
      <x:c r="B10" s="185" t="str">
        <x:v>RPL_BATH_FIXOUT</x:v>
      </x:c>
      <x:c r="C10" s="185" t="str">
        <x:v>BATH-STD</x:v>
      </x:c>
      <x:c r="D10" s="201" t="b">
        <x:v>1</x:v>
      </x:c>
      <x:c r="E10" s="185" t="str">
        <x:v>SHOW</x:v>
      </x:c>
      <x:c r="F10" s="185" t="str">
        <x:v>COMPLETE</x:v>
      </x:c>
      <x:c r="G10" s="186" t="str">
        <x:v>BATH-EV-003</x:v>
      </x:c>
    </x:row>
    <x:row r="11">
      <x:c r="A11" s="184" t="str">
        <x:v>RPL_BATH</x:v>
      </x:c>
      <x:c r="B11" s="185" t="str">
        <x:v>RPL_BATH_FIXIN</x:v>
      </x:c>
      <x:c r="C11" s="185" t="str">
        <x:v>BATH-STD</x:v>
      </x:c>
      <x:c r="D11" s="201" t="b">
        <x:v>1</x:v>
      </x:c>
      <x:c r="E11" s="185" t="str">
        <x:v>SHOW</x:v>
      </x:c>
      <x:c r="F11" s="185" t="str">
        <x:v>COMPLETE</x:v>
      </x:c>
      <x:c r="G11" s="186" t="str">
        <x:v>BATH-EV-003</x:v>
      </x:c>
    </x:row>
    <x:row r="12">
      <x:c r="A12" s="184" t="str">
        <x:v>RPL_BATH</x:v>
      </x:c>
      <x:c r="B12" s="185" t="str">
        <x:v>RPL_BATH_SLD</x:v>
      </x:c>
      <x:c r="C12" s="185" t="str">
        <x:v>BATH-BRG</x:v>
      </x:c>
      <x:c r="D12" s="201" t="b">
        <x:v>1</x:v>
      </x:c>
      <x:c r="E12" s="185" t="str">
        <x:v>SHOW</x:v>
      </x:c>
      <x:c r="F12" s="185" t="str">
        <x:v>COMPLETE</x:v>
      </x:c>
      <x:c r="G12" s="186" t="str">
        <x:v>BATH-EV-003,006</x:v>
      </x:c>
    </x:row>
    <x:row r="13">
      <x:c r="A13" s="184" t="str">
        <x:v>RPL_BATH</x:v>
      </x:c>
      <x:c r="B13" s="185" t="str">
        <x:v>RPL_BATH_VSOP</x:v>
      </x:c>
      <x:c r="C13" s="185" t="str">
        <x:v>BATH-BRG</x:v>
      </x:c>
      <x:c r="D13" s="201" t="b">
        <x:v>0</x:v>
      </x:c>
      <x:c r="E13" s="185" t="str">
        <x:v>HIDE</x:v>
      </x:c>
      <x:c r="F13" s="185" t="str">
        <x:v>NOT_APPLICABLE</x:v>
      </x:c>
      <x:c r="G13" s="186" t="str">
        <x:v>BATH-EV-003</x:v>
      </x:c>
    </x:row>
    <x:row r="14">
      <x:c r="A14" s="184" t="str">
        <x:v>RPL_BATH</x:v>
      </x:c>
      <x:c r="B14" s="185" t="str">
        <x:v>RPL_BATH_VSCAM</x:v>
      </x:c>
      <x:c r="C14" s="185" t="str">
        <x:v>BATH-BRG</x:v>
      </x:c>
      <x:c r="D14" s="201" t="b">
        <x:v>0</x:v>
      </x:c>
      <x:c r="E14" s="185" t="str">
        <x:v>HIDE</x:v>
      </x:c>
      <x:c r="F14" s="185" t="str">
        <x:v>NOT_APPLICABLE</x:v>
      </x:c>
      <x:c r="G14" s="186" t="str">
        <x:v>BATH-EV-003</x:v>
      </x:c>
    </x:row>
    <x:row r="15">
      <x:c r="A15" s="184" t="str">
        <x:v>RPL_BATH</x:v>
      </x:c>
      <x:c r="B15" s="185" t="str">
        <x:v>RPL_BATH_HSOP</x:v>
      </x:c>
      <x:c r="C15" s="185" t="str">
        <x:v>BATH-BRG</x:v>
      </x:c>
      <x:c r="D15" s="201" t="b">
        <x:v>0</x:v>
      </x:c>
      <x:c r="E15" s="185" t="str">
        <x:v>HIDE</x:v>
      </x:c>
      <x:c r="F15" s="185" t="str">
        <x:v>NOT_APPLICABLE</x:v>
      </x:c>
      <x:c r="G15" s="186" t="str">
        <x:v>BATH-EV-003</x:v>
      </x:c>
    </x:row>
    <x:row r="16">
      <x:c r="A16" s="184" t="str">
        <x:v>RPL_BATH</x:v>
      </x:c>
      <x:c r="B16" s="185" t="str">
        <x:v>RPL_BATH_HSCAM</x:v>
      </x:c>
      <x:c r="C16" s="185" t="str">
        <x:v>BATH-BRG</x:v>
      </x:c>
      <x:c r="D16" s="201" t="b">
        <x:v>0</x:v>
      </x:c>
      <x:c r="E16" s="185" t="str">
        <x:v>HIDE</x:v>
      </x:c>
      <x:c r="F16" s="185" t="str">
        <x:v>NOT_APPLICABLE</x:v>
      </x:c>
      <x:c r="G16" s="186" t="str">
        <x:v>BATH-EV-003</x:v>
      </x:c>
    </x:row>
    <x:row r="17">
      <x:c r="A17" s="184" t="str">
        <x:v>RPL_BATH</x:v>
      </x:c>
      <x:c r="B17" s="185" t="str">
        <x:v>RPL_BATH_DHFS</x:v>
      </x:c>
      <x:c r="C17" s="185" t="str">
        <x:v>BATH-BRG</x:v>
      </x:c>
      <x:c r="D17" s="201" t="b">
        <x:v>0</x:v>
      </x:c>
      <x:c r="E17" s="185" t="str">
        <x:v>HIDE</x:v>
      </x:c>
      <x:c r="F17" s="185" t="str">
        <x:v>NOT_APPLICABLE</x:v>
      </x:c>
      <x:c r="G17" s="186" t="str">
        <x:v>BATH-EV-003</x:v>
      </x:c>
    </x:row>
    <x:row r="18">
      <x:c r="A18" s="184" t="str">
        <x:v>RPL_BATH</x:v>
      </x:c>
      <x:c r="B18" s="185" t="str">
        <x:v>RPL_BATH_FIXOUT</x:v>
      </x:c>
      <x:c r="C18" s="185" t="str">
        <x:v>BATH-BRG</x:v>
      </x:c>
      <x:c r="D18" s="201" t="b">
        <x:v>0</x:v>
      </x:c>
      <x:c r="E18" s="185" t="str">
        <x:v>HIDE</x:v>
      </x:c>
      <x:c r="F18" s="185" t="str">
        <x:v>NOT_APPLICABLE</x:v>
      </x:c>
      <x:c r="G18" s="186" t="str">
        <x:v>BATH-EV-003</x:v>
      </x:c>
    </x:row>
    <x:row r="19">
      <x:c r="A19" s="187" t="str">
        <x:v>RPL_BATH</x:v>
      </x:c>
      <x:c r="B19" s="188" t="str">
        <x:v>RPL_BATH_FIXIN</x:v>
      </x:c>
      <x:c r="C19" s="188" t="str">
        <x:v>BATH-BRG</x:v>
      </x:c>
      <x:c r="D19" s="202" t="b">
        <x:v>0</x:v>
      </x:c>
      <x:c r="E19" s="188" t="str">
        <x:v>HIDE</x:v>
      </x:c>
      <x:c r="F19" s="188" t="str">
        <x:v>NOT_APPLICABLE</x:v>
      </x:c>
      <x:c r="G19" s="189" t="str">
        <x:v>BATH-EV-003</x:v>
      </x:c>
    </x:row>
  </x:sheetData>
  <x:mergeCells>
    <x:mergeCell ref="A1:F1"/>
    <x:mergeCell ref="A2:F2"/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30" hidden="0" customWidth="1"/>
    <x:col min="5" max="5" width="18" hidden="0" customWidth="1"/>
    <x:col min="6" max="6" width="60" hidden="0" customWidth="1"/>
    <x:col min="7" max="7" width="18" hidden="0" customWidth="1"/>
    <x:col min="8" max="8" width="22" hidden="0" customWidth="1"/>
  </x:cols>
  <x:sheetData>
    <x:row r="1" ht="28" customHeight="1">
      <x:c r="A1" s="178" t="str">
        <x:v>04_窓種固有仕様｜浴室仕様</x:v>
      </x:c>
      <x:c r="B1" s="178"/>
      <x:c r="C1" s="178"/>
      <x:c r="D1" s="178"/>
      <x:c r="E1" s="178"/>
      <x:c r="F1" s="178"/>
      <x:c r="G1" s="178"/>
      <x:c r="H1" s="178"/>
    </x:row>
    <x:row r="3" ht="30" customHeight="1">
      <x:c r="A3" s="181" t="str">
        <x:v>solid_spec_id</x:v>
      </x:c>
      <x:c r="B3" s="182" t="str">
        <x:v>window_type_id</x:v>
      </x:c>
      <x:c r="C3" s="182" t="str">
        <x:v>spec_type</x:v>
      </x:c>
      <x:c r="D3" s="182" t="str">
        <x:v>公式値</x:v>
      </x:c>
      <x:c r="E3" s="182" t="str">
        <x:v>selection_mode</x:v>
      </x:c>
      <x:c r="F3" s="182" t="str">
        <x:v>適用条件</x:v>
      </x:c>
      <x:c r="G3" s="182" t="str">
        <x:v>status</x:v>
      </x:c>
      <x:c r="H3" s="183" t="str">
        <x:v>evidence</x:v>
      </x:c>
    </x:row>
    <x:row r="4">
      <x:c r="A4" s="184" t="str">
        <x:v>BATH-SS-SLD2</x:v>
      </x:c>
      <x:c r="B4" s="185" t="str">
        <x:v>RPL_BATH_SLD</x:v>
      </x:c>
      <x:c r="C4" s="185" t="str">
        <x:v>panel_configuration</x:v>
      </x:c>
      <x:c r="D4" s="185" t="str">
        <x:v>2枚建</x:v>
      </x:c>
      <x:c r="E4" s="185" t="str">
        <x:v>FIXED</x:v>
      </x:c>
      <x:c r="F4" s="185" t="str">
        <x:v>マドタイプのみ</x:v>
      </x:c>
      <x:c r="G4" s="185" t="str">
        <x:v>COMPLETE</x:v>
      </x:c>
      <x:c r="H4" s="186" t="str">
        <x:v>BATH-EV-005,006</x:v>
      </x:c>
    </x:row>
    <x:row r="5">
      <x:c r="A5" s="184" t="str">
        <x:v>BATH-SS-SLD-PG</x:v>
      </x:c>
      <x:c r="B5" s="185" t="str">
        <x:v>RPL_BATH_SLD</x:v>
      </x:c>
      <x:c r="C5" s="185" t="str">
        <x:v>sash_configuration</x:v>
      </x:c>
      <x:c r="D5" s="185" t="str">
        <x:v>PG障子</x:v>
      </x:c>
      <x:c r="E5" s="185" t="str">
        <x:v>FIXED</x:v>
      </x:c>
      <x:c r="F5" s="185" t="str">
        <x:v>浴室引違い窓</x:v>
      </x:c>
      <x:c r="G5" s="185" t="str">
        <x:v>COMPLETE</x:v>
      </x:c>
      <x:c r="H5" s="186" t="str">
        <x:v>BATH-EV-005</x:v>
      </x:c>
    </x:row>
    <x:row r="6">
      <x:c r="A6" s="184" t="str">
        <x:v>BATH-SS-VSOP</x:v>
      </x:c>
      <x:c r="B6" s="185" t="str">
        <x:v>RPL_BATH_VSOP</x:v>
      </x:c>
      <x:c r="C6" s="185" t="str">
        <x:v>operation_type</x:v>
      </x:c>
      <x:c r="D6" s="185" t="str">
        <x:v>オペレーター</x:v>
      </x:c>
      <x:c r="E6" s="185" t="str">
        <x:v>FIXED</x:v>
      </x:c>
      <x:c r="F6" s="185" t="str">
        <x:v>—</x:v>
      </x:c>
      <x:c r="G6" s="185" t="str">
        <x:v>COMPLETE</x:v>
      </x:c>
      <x:c r="H6" s="186" t="str">
        <x:v>BATH-EV-003</x:v>
      </x:c>
    </x:row>
    <x:row r="7">
      <x:c r="A7" s="184" t="str">
        <x:v>BATH-SS-VSCAM</x:v>
      </x:c>
      <x:c r="B7" s="185" t="str">
        <x:v>RPL_BATH_VSCAM</x:v>
      </x:c>
      <x:c r="C7" s="185" t="str">
        <x:v>operation_type</x:v>
      </x:c>
      <x:c r="D7" s="185" t="str">
        <x:v>カムラッチ</x:v>
      </x:c>
      <x:c r="E7" s="185" t="str">
        <x:v>FIXED</x:v>
      </x:c>
      <x:c r="F7" s="185" t="str">
        <x:v>—</x:v>
      </x:c>
      <x:c r="G7" s="185" t="str">
        <x:v>COMPLETE</x:v>
      </x:c>
      <x:c r="H7" s="186" t="str">
        <x:v>BATH-EV-003</x:v>
      </x:c>
    </x:row>
    <x:row r="8">
      <x:c r="A8" s="184" t="str">
        <x:v>BATH-SS-HSOP</x:v>
      </x:c>
      <x:c r="B8" s="185" t="str">
        <x:v>RPL_BATH_HSOP</x:v>
      </x:c>
      <x:c r="C8" s="185" t="str">
        <x:v>operation_type</x:v>
      </x:c>
      <x:c r="D8" s="185" t="str">
        <x:v>オペレーター</x:v>
      </x:c>
      <x:c r="E8" s="185" t="str">
        <x:v>FIXED</x:v>
      </x:c>
      <x:c r="F8" s="185" t="str">
        <x:v>—</x:v>
      </x:c>
      <x:c r="G8" s="185" t="str">
        <x:v>COMPLETE</x:v>
      </x:c>
      <x:c r="H8" s="186" t="str">
        <x:v>BATH-EV-003</x:v>
      </x:c>
    </x:row>
    <x:row r="9">
      <x:c r="A9" s="184" t="str">
        <x:v>BATH-SS-HSCAM</x:v>
      </x:c>
      <x:c r="B9" s="185" t="str">
        <x:v>RPL_BATH_HSCAM</x:v>
      </x:c>
      <x:c r="C9" s="185" t="str">
        <x:v>operation_type</x:v>
      </x:c>
      <x:c r="D9" s="185" t="str">
        <x:v>カムラッチ</x:v>
      </x:c>
      <x:c r="E9" s="185" t="str">
        <x:v>FIXED</x:v>
      </x:c>
      <x:c r="F9" s="185" t="str">
        <x:v>—</x:v>
      </x:c>
      <x:c r="G9" s="185" t="str">
        <x:v>COMPLETE</x:v>
      </x:c>
      <x:c r="H9" s="186" t="str">
        <x:v>BATH-EV-003</x:v>
      </x:c>
    </x:row>
    <x:row r="10">
      <x:c r="A10" s="184" t="str">
        <x:v>BATH-SS-DHFS-CLEAN0</x:v>
      </x:c>
      <x:c r="B10" s="185" t="str">
        <x:v>RPL_BATH_DHFS</x:v>
      </x:c>
      <x:c r="C10" s="185" t="str">
        <x:v>cleaning_arm</x:v>
      </x:c>
      <x:c r="D10" s="185" t="str">
        <x:v>清掃アームなし</x:v>
      </x:c>
      <x:c r="E10" s="185" t="str">
        <x:v>AUTO</x:v>
      </x:c>
      <x:c r="F10" s="185" t="str">
        <x:v>HD&lt;756</x:v>
      </x:c>
      <x:c r="G10" s="185" t="str">
        <x:v>COMPLETE</x:v>
      </x:c>
      <x:c r="H10" s="186" t="str">
        <x:v>BATH-EV-007</x:v>
      </x:c>
    </x:row>
    <x:row r="11">
      <x:c r="A11" s="187" t="str">
        <x:v>BATH-SS-DHFS-CLEAN1</x:v>
      </x:c>
      <x:c r="B11" s="188" t="str">
        <x:v>RPL_BATH_DHFS</x:v>
      </x:c>
      <x:c r="C11" s="188" t="str">
        <x:v>cleaning_arm</x:v>
      </x:c>
      <x:c r="D11" s="188" t="str">
        <x:v>清掃アームあり</x:v>
      </x:c>
      <x:c r="E11" s="188" t="str">
        <x:v>AUTO</x:v>
      </x:c>
      <x:c r="F11" s="188" t="str">
        <x:v>HD&gt;=756</x:v>
      </x:c>
      <x:c r="G11" s="188" t="str">
        <x:v>COMPLETE</x:v>
      </x:c>
      <x:c r="H11" s="189" t="str">
        <x:v>BATH-EV-007</x:v>
      </x:c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8"/>
      <x:c r="B13" s="39"/>
      <x:c r="C13" s="39"/>
      <x:c r="D13" s="39"/>
      <x:c r="E13" s="39"/>
      <x:c r="F13" s="39"/>
      <x:c r="G13" s="39"/>
      <x:c r="H13" s="40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18" hidden="0" customWidth="1"/>
    <x:col min="4" max="4" width="2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24" hidden="0" customWidth="1"/>
    <x:col min="14" max="14" width="30" hidden="0" customWidth="1"/>
    <x:col min="15" max="15" width="24" hidden="0" customWidth="1"/>
    <x:col min="16" max="16" width="54" hidden="0" customWidth="1"/>
    <x:col min="17" max="17" width="14" hidden="0" customWidth="1"/>
    <x:col min="18" max="18" width="14" hidden="0" customWidth="1"/>
  </x:cols>
  <x:sheetData>
    <x:row r="1" ht="28" customHeight="1">
      <x:c r="A1" s="178" t="str">
        <x:v>05_サイズルール｜浴室仕様</x:v>
      </x:c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  <x:c r="M1" s="178"/>
      <x:c r="N1" s="178"/>
      <x:c r="O1" s="178"/>
      <x:c r="P1" s="4"/>
      <x:c r="Q1" s="4"/>
      <x:c r="R1" s="4"/>
    </x:row>
    <x:row r="2" ht="40" customHeight="1">
      <x:c r="A2" s="179" t="str">
        <x:v>出来寸を正式判定基準に、採寸範囲は+10で保持。内嵌め/パネル等の図形範囲は外部確認。</x:v>
      </x:c>
      <x:c r="B2" s="179"/>
      <x:c r="C2" s="179"/>
      <x:c r="D2" s="179"/>
      <x:c r="E2" s="179"/>
      <x:c r="F2" s="179"/>
      <x:c r="G2" s="179"/>
      <x:c r="H2" s="179"/>
      <x:c r="I2" s="179"/>
      <x:c r="J2" s="179"/>
      <x:c r="K2" s="179"/>
      <x:c r="L2" s="179"/>
      <x:c r="M2" s="179"/>
      <x:c r="N2" s="179"/>
      <x:c r="O2" s="179"/>
      <x:c r="P2" s="11"/>
      <x:c r="Q2" s="11"/>
      <x:c r="R2" s="11"/>
    </x:row>
    <x:row r="4" ht="30" customHeight="1">
      <x:c r="A4" s="181" t="str">
        <x:v>size_rule_id</x:v>
      </x:c>
      <x:c r="B4" s="182" t="str">
        <x:v>window_type_id</x:v>
      </x:c>
      <x:c r="C4" s="182" t="str">
        <x:v>frame_type_id</x:v>
      </x:c>
      <x:c r="D4" s="182" t="str">
        <x:v>opening_pattern_id</x:v>
      </x:c>
      <x:c r="E4" s="182" t="str">
        <x:v>finished_w_min</x:v>
      </x:c>
      <x:c r="F4" s="182" t="str">
        <x:v>finished_w_max</x:v>
      </x:c>
      <x:c r="G4" s="182" t="str">
        <x:v>finished_h_min</x:v>
      </x:c>
      <x:c r="H4" s="182" t="str">
        <x:v>finished_h_max</x:v>
      </x:c>
      <x:c r="I4" s="182" t="str">
        <x:v>survey_w_min</x:v>
      </x:c>
      <x:c r="J4" s="182" t="str">
        <x:v>survey_w_max</x:v>
      </x:c>
      <x:c r="K4" s="182" t="str">
        <x:v>survey_h_min</x:v>
      </x:c>
      <x:c r="L4" s="182" t="str">
        <x:v>survey_h_max</x:v>
      </x:c>
      <x:c r="M4" s="182" t="str">
        <x:v>boundary_rule_id</x:v>
      </x:c>
      <x:c r="N4" s="182" t="str">
        <x:v>status</x:v>
      </x:c>
      <x:c r="O4" s="183" t="str">
        <x:v>evidence</x:v>
      </x:c>
      <x:c r="P4" s="33"/>
      <x:c r="Q4" s="33"/>
      <x:c r="R4" s="34"/>
    </x:row>
    <x:row r="5">
      <x:c r="A5" s="184" t="str">
        <x:v>BATH-SZ-SLD-STD-FULL95</x:v>
      </x:c>
      <x:c r="B5" s="185" t="str">
        <x:v>RPL_BATH_SLD</x:v>
      </x:c>
      <x:c r="C5" s="185" t="str">
        <x:v>BATH-STD</x:v>
      </x:c>
      <x:c r="D5" s="185" t="str">
        <x:v>FULL95</x:v>
      </x:c>
      <x:c r="E5" s="185" t="n">
        <x:v>774</x:v>
      </x:c>
      <x:c r="F5" s="185" t="n">
        <x:v>2051</x:v>
      </x:c>
      <x:c r="G5" s="208" t="n">
        <x:v>337</x:v>
      </x:c>
      <x:c r="H5" s="208" t="n">
        <x:v>1601</x:v>
      </x:c>
      <x:c r="I5" s="208" t="n">
        <x:v>784</x:v>
      </x:c>
      <x:c r="J5" s="208" t="n">
        <x:v>2061</x:v>
      </x:c>
      <x:c r="K5" s="208" t="n">
        <x:v>347</x:v>
      </x:c>
      <x:c r="L5" s="208" t="n">
        <x:v>1611</x:v>
      </x:c>
      <x:c r="M5" s="208" t="str">
        <x:v>BATH-BR-SLD-STD</x:v>
      </x:c>
      <x:c r="N5" s="208" t="str">
        <x:v>COMPLETE</x:v>
      </x:c>
      <x:c r="O5" s="186" t="str">
        <x:v>BATH-EV-006</x:v>
      </x:c>
      <x:c r="P5" s="36"/>
      <x:c r="Q5" s="36"/>
      <x:c r="R5" s="37"/>
    </x:row>
    <x:row r="6">
      <x:c r="A6" s="184" t="str">
        <x:v>BATH-SZ-SLD-STD-FULL195</x:v>
      </x:c>
      <x:c r="B6" s="185" t="str">
        <x:v>RPL_BATH_SLD</x:v>
      </x:c>
      <x:c r="C6" s="185" t="str">
        <x:v>BATH-STD</x:v>
      </x:c>
      <x:c r="D6" s="185" t="str">
        <x:v>FULL195</x:v>
      </x:c>
      <x:c r="E6" s="185" t="n">
        <x:v>973</x:v>
      </x:c>
      <x:c r="F6" s="185" t="n">
        <x:v>2250</x:v>
      </x:c>
      <x:c r="G6" s="208" t="n">
        <x:v>337</x:v>
      </x:c>
      <x:c r="H6" s="208" t="n">
        <x:v>1601</x:v>
      </x:c>
      <x:c r="I6" s="208" t="n">
        <x:v>983</x:v>
      </x:c>
      <x:c r="J6" s="208" t="n">
        <x:v>2260</x:v>
      </x:c>
      <x:c r="K6" s="208" t="n">
        <x:v>347</x:v>
      </x:c>
      <x:c r="L6" s="208" t="n">
        <x:v>1611</x:v>
      </x:c>
      <x:c r="M6" s="208" t="str">
        <x:v>BATH-BR-SLD-STD</x:v>
      </x:c>
      <x:c r="N6" s="208" t="str">
        <x:v>COMPLETE</x:v>
      </x:c>
      <x:c r="O6" s="186" t="str">
        <x:v>BATH-EV-006</x:v>
      </x:c>
      <x:c r="P6" s="36"/>
      <x:c r="Q6" s="36"/>
      <x:c r="R6" s="37"/>
    </x:row>
    <x:row r="7">
      <x:c r="A7" s="184" t="str">
        <x:v>BATH-SZ-SLD-STD-OFFSET_L95</x:v>
      </x:c>
      <x:c r="B7" s="185" t="str">
        <x:v>RPL_BATH_SLD</x:v>
      </x:c>
      <x:c r="C7" s="185" t="str">
        <x:v>BATH-STD</x:v>
      </x:c>
      <x:c r="D7" s="185" t="str">
        <x:v>OFFSET_L95</x:v>
      </x:c>
      <x:c r="E7" s="185" t="n">
        <x:v>711</x:v>
      </x:c>
      <x:c r="F7" s="185" t="n">
        <x:v>1988</x:v>
      </x:c>
      <x:c r="G7" s="208" t="n">
        <x:v>337</x:v>
      </x:c>
      <x:c r="H7" s="208" t="n">
        <x:v>1601</x:v>
      </x:c>
      <x:c r="I7" s="208" t="n">
        <x:v>721</x:v>
      </x:c>
      <x:c r="J7" s="208" t="n">
        <x:v>1998</x:v>
      </x:c>
      <x:c r="K7" s="208" t="n">
        <x:v>347</x:v>
      </x:c>
      <x:c r="L7" s="208" t="n">
        <x:v>1611</x:v>
      </x:c>
      <x:c r="M7" s="208" t="str">
        <x:v>BATH-BR-SLD-STD</x:v>
      </x:c>
      <x:c r="N7" s="208" t="str">
        <x:v>COMPLETE</x:v>
      </x:c>
      <x:c r="O7" s="186" t="str">
        <x:v>BATH-EV-006</x:v>
      </x:c>
      <x:c r="P7" s="36"/>
      <x:c r="Q7" s="36"/>
      <x:c r="R7" s="37"/>
    </x:row>
    <x:row r="8">
      <x:c r="A8" s="184" t="str">
        <x:v>BATH-SZ-SLD-STD-OFFSET_L195</x:v>
      </x:c>
      <x:c r="B8" s="185" t="str">
        <x:v>RPL_BATH_SLD</x:v>
      </x:c>
      <x:c r="C8" s="185" t="str">
        <x:v>BATH-STD</x:v>
      </x:c>
      <x:c r="D8" s="185" t="str">
        <x:v>OFFSET_L195</x:v>
      </x:c>
      <x:c r="E8" s="185" t="n">
        <x:v>810</x:v>
      </x:c>
      <x:c r="F8" s="185" t="n">
        <x:v>2087</x:v>
      </x:c>
      <x:c r="G8" s="208" t="n">
        <x:v>337</x:v>
      </x:c>
      <x:c r="H8" s="208" t="n">
        <x:v>1601</x:v>
      </x:c>
      <x:c r="I8" s="208" t="n">
        <x:v>820</x:v>
      </x:c>
      <x:c r="J8" s="208" t="n">
        <x:v>2097</x:v>
      </x:c>
      <x:c r="K8" s="208" t="n">
        <x:v>347</x:v>
      </x:c>
      <x:c r="L8" s="208" t="n">
        <x:v>1611</x:v>
      </x:c>
      <x:c r="M8" s="208" t="str">
        <x:v>BATH-BR-SLD-STD</x:v>
      </x:c>
      <x:c r="N8" s="208" t="str">
        <x:v>COMPLETE</x:v>
      </x:c>
      <x:c r="O8" s="186" t="str">
        <x:v>BATH-EV-006</x:v>
      </x:c>
      <x:c r="P8" s="36"/>
      <x:c r="Q8" s="36"/>
      <x:c r="R8" s="37"/>
    </x:row>
    <x:row r="9">
      <x:c r="A9" s="184" t="str">
        <x:v>BATH-SZ-SLD-STD-OFFSET_R95</x:v>
      </x:c>
      <x:c r="B9" s="185" t="str">
        <x:v>RPL_BATH_SLD</x:v>
      </x:c>
      <x:c r="C9" s="185" t="str">
        <x:v>BATH-STD</x:v>
      </x:c>
      <x:c r="D9" s="185" t="str">
        <x:v>OFFSET_R95</x:v>
      </x:c>
      <x:c r="E9" s="185" t="n">
        <x:v>711</x:v>
      </x:c>
      <x:c r="F9" s="185" t="n">
        <x:v>1988</x:v>
      </x:c>
      <x:c r="G9" s="208" t="n">
        <x:v>337</x:v>
      </x:c>
      <x:c r="H9" s="208" t="n">
        <x:v>1601</x:v>
      </x:c>
      <x:c r="I9" s="208" t="n">
        <x:v>721</x:v>
      </x:c>
      <x:c r="J9" s="208" t="n">
        <x:v>1998</x:v>
      </x:c>
      <x:c r="K9" s="208" t="n">
        <x:v>347</x:v>
      </x:c>
      <x:c r="L9" s="208" t="n">
        <x:v>1611</x:v>
      </x:c>
      <x:c r="M9" s="208" t="str">
        <x:v>BATH-BR-SLD-STD</x:v>
      </x:c>
      <x:c r="N9" s="208" t="str">
        <x:v>COMPLETE</x:v>
      </x:c>
      <x:c r="O9" s="186" t="str">
        <x:v>BATH-EV-006</x:v>
      </x:c>
      <x:c r="P9" s="36"/>
      <x:c r="Q9" s="36"/>
      <x:c r="R9" s="37"/>
    </x:row>
    <x:row r="10">
      <x:c r="A10" s="184" t="str">
        <x:v>BATH-SZ-SLD-STD-OFFSET_R195</x:v>
      </x:c>
      <x:c r="B10" s="185" t="str">
        <x:v>RPL_BATH_SLD</x:v>
      </x:c>
      <x:c r="C10" s="185" t="str">
        <x:v>BATH-STD</x:v>
      </x:c>
      <x:c r="D10" s="185" t="str">
        <x:v>OFFSET_R195</x:v>
      </x:c>
      <x:c r="E10" s="185" t="n">
        <x:v>810</x:v>
      </x:c>
      <x:c r="F10" s="185" t="n">
        <x:v>2087</x:v>
      </x:c>
      <x:c r="G10" s="208" t="n">
        <x:v>337</x:v>
      </x:c>
      <x:c r="H10" s="208" t="n">
        <x:v>1601</x:v>
      </x:c>
      <x:c r="I10" s="208" t="n">
        <x:v>820</x:v>
      </x:c>
      <x:c r="J10" s="208" t="n">
        <x:v>2097</x:v>
      </x:c>
      <x:c r="K10" s="208" t="n">
        <x:v>347</x:v>
      </x:c>
      <x:c r="L10" s="208" t="n">
        <x:v>1611</x:v>
      </x:c>
      <x:c r="M10" s="208" t="str">
        <x:v>BATH-BR-SLD-STD</x:v>
      </x:c>
      <x:c r="N10" s="208" t="str">
        <x:v>COMPLETE</x:v>
      </x:c>
      <x:c r="O10" s="186" t="str">
        <x:v>BATH-EV-006</x:v>
      </x:c>
      <x:c r="P10" s="36"/>
      <x:c r="Q10" s="36"/>
      <x:c r="R10" s="37"/>
    </x:row>
    <x:row r="11">
      <x:c r="A11" s="184" t="str">
        <x:v>BATH-SZ-SLD-STD-CUTOUT</x:v>
      </x:c>
      <x:c r="B11" s="185" t="str">
        <x:v>RPL_BATH_SLD</x:v>
      </x:c>
      <x:c r="C11" s="185" t="str">
        <x:v>BATH-STD</x:v>
      </x:c>
      <x:c r="D11" s="185" t="str">
        <x:v>CUTOUT</x:v>
      </x:c>
      <x:c r="E11" s="185" t="n">
        <x:v>647</x:v>
      </x:c>
      <x:c r="F11" s="185" t="n">
        <x:v>1924</x:v>
      </x:c>
      <x:c r="G11" s="208" t="n">
        <x:v>337</x:v>
      </x:c>
      <x:c r="H11" s="208" t="n">
        <x:v>1601</x:v>
      </x:c>
      <x:c r="I11" s="208" t="n">
        <x:v>657</x:v>
      </x:c>
      <x:c r="J11" s="208" t="n">
        <x:v>1934</x:v>
      </x:c>
      <x:c r="K11" s="208" t="n">
        <x:v>347</x:v>
      </x:c>
      <x:c r="L11" s="208" t="n">
        <x:v>1611</x:v>
      </x:c>
      <x:c r="M11" s="208" t="str">
        <x:v>BATH-BR-SLD-STD</x:v>
      </x:c>
      <x:c r="N11" s="208" t="str">
        <x:v>COMPLETE</x:v>
      </x:c>
      <x:c r="O11" s="186" t="str">
        <x:v>BATH-EV-006</x:v>
      </x:c>
      <x:c r="P11" s="36"/>
      <x:c r="Q11" s="36"/>
      <x:c r="R11" s="37"/>
    </x:row>
    <x:row r="12">
      <x:c r="A12" s="184" t="str">
        <x:v>BATH-SZ-SLD-STD-WINDOW_ONLY</x:v>
      </x:c>
      <x:c r="B12" s="185" t="str">
        <x:v>RPL_BATH_SLD</x:v>
      </x:c>
      <x:c r="C12" s="185" t="str">
        <x:v>BATH-STD</x:v>
      </x:c>
      <x:c r="D12" s="185" t="str">
        <x:v>WINDOW_ONLY</x:v>
      </x:c>
      <x:c r="E12" s="185" t="n">
        <x:v>647</x:v>
      </x:c>
      <x:c r="F12" s="185" t="n">
        <x:v>1924</x:v>
      </x:c>
      <x:c r="G12" s="208" t="n">
        <x:v>337</x:v>
      </x:c>
      <x:c r="H12" s="208" t="n">
        <x:v>1601</x:v>
      </x:c>
      <x:c r="I12" s="208" t="n">
        <x:v>657</x:v>
      </x:c>
      <x:c r="J12" s="208" t="n">
        <x:v>1934</x:v>
      </x:c>
      <x:c r="K12" s="208" t="n">
        <x:v>347</x:v>
      </x:c>
      <x:c r="L12" s="208" t="n">
        <x:v>1611</x:v>
      </x:c>
      <x:c r="M12" s="208" t="str">
        <x:v>BATH-BR-SLD-STD</x:v>
      </x:c>
      <x:c r="N12" s="208" t="str">
        <x:v>COMPLETE</x:v>
      </x:c>
      <x:c r="O12" s="186" t="str">
        <x:v>BATH-EV-006</x:v>
      </x:c>
      <x:c r="P12" s="36"/>
      <x:c r="Q12" s="36"/>
      <x:c r="R12" s="37"/>
    </x:row>
    <x:row r="13">
      <x:c r="A13" s="184" t="str">
        <x:v>BATH-SZ-SLD-BRG-FULL95</x:v>
      </x:c>
      <x:c r="B13" s="185" t="str">
        <x:v>RPL_BATH_SLD</x:v>
      </x:c>
      <x:c r="C13" s="185" t="str">
        <x:v>BATH-BRG</x:v>
      </x:c>
      <x:c r="D13" s="185" t="str">
        <x:v>FULL95</x:v>
      </x:c>
      <x:c r="E13" s="185" t="n">
        <x:v>744</x:v>
      </x:c>
      <x:c r="F13" s="185" t="n">
        <x:v>2051</x:v>
      </x:c>
      <x:c r="G13" s="208" t="n">
        <x:v>342</x:v>
      </x:c>
      <x:c r="H13" s="208" t="n">
        <x:v>1601</x:v>
      </x:c>
      <x:c r="I13" s="208" t="n">
        <x:v>754</x:v>
      </x:c>
      <x:c r="J13" s="208" t="n">
        <x:v>2061</x:v>
      </x:c>
      <x:c r="K13" s="208" t="n">
        <x:v>352</x:v>
      </x:c>
      <x:c r="L13" s="208" t="n">
        <x:v>1611</x:v>
      </x:c>
      <x:c r="M13" s="208" t="str">
        <x:v>BATH-BR-SLD-BRG</x:v>
      </x:c>
      <x:c r="N13" s="208" t="str">
        <x:v>COMPLETE_WITH_EXTERNAL_CHECK</x:v>
      </x:c>
      <x:c r="O13" s="186" t="str">
        <x:v>BATH-EV-006</x:v>
      </x:c>
      <x:c r="P13" s="36"/>
      <x:c r="Q13" s="36"/>
      <x:c r="R13" s="37"/>
    </x:row>
    <x:row r="14">
      <x:c r="A14" s="184" t="str">
        <x:v>BATH-SZ-SLD-BRG-FULL195</x:v>
      </x:c>
      <x:c r="B14" s="185" t="str">
        <x:v>RPL_BATH_SLD</x:v>
      </x:c>
      <x:c r="C14" s="185" t="str">
        <x:v>BATH-BRG</x:v>
      </x:c>
      <x:c r="D14" s="185" t="str">
        <x:v>FULL195</x:v>
      </x:c>
      <x:c r="E14" s="185" t="n">
        <x:v>973</x:v>
      </x:c>
      <x:c r="F14" s="185" t="n">
        <x:v>2250</x:v>
      </x:c>
      <x:c r="G14" s="208" t="n">
        <x:v>342</x:v>
      </x:c>
      <x:c r="H14" s="208" t="n">
        <x:v>1601</x:v>
      </x:c>
      <x:c r="I14" s="208" t="n">
        <x:v>983</x:v>
      </x:c>
      <x:c r="J14" s="208" t="n">
        <x:v>2260</x:v>
      </x:c>
      <x:c r="K14" s="208" t="n">
        <x:v>352</x:v>
      </x:c>
      <x:c r="L14" s="208" t="n">
        <x:v>1611</x:v>
      </x:c>
      <x:c r="M14" s="208" t="str">
        <x:v>BATH-BR-SLD-BRG</x:v>
      </x:c>
      <x:c r="N14" s="208" t="str">
        <x:v>COMPLETE</x:v>
      </x:c>
      <x:c r="O14" s="186" t="str">
        <x:v>BATH-EV-006</x:v>
      </x:c>
      <x:c r="P14" s="36"/>
      <x:c r="Q14" s="36"/>
      <x:c r="R14" s="37"/>
    </x:row>
    <x:row r="15">
      <x:c r="A15" s="184" t="str">
        <x:v>BATH-SZ-SLD-BRG-OFFSET_L95</x:v>
      </x:c>
      <x:c r="B15" s="185" t="str">
        <x:v>RPL_BATH_SLD</x:v>
      </x:c>
      <x:c r="C15" s="185" t="str">
        <x:v>BATH-BRG</x:v>
      </x:c>
      <x:c r="D15" s="185" t="str">
        <x:v>OFFSET_L95</x:v>
      </x:c>
      <x:c r="E15" s="185" t="n">
        <x:v>711</x:v>
      </x:c>
      <x:c r="F15" s="185" t="n">
        <x:v>1988</x:v>
      </x:c>
      <x:c r="G15" s="208" t="n">
        <x:v>342</x:v>
      </x:c>
      <x:c r="H15" s="208" t="n">
        <x:v>1601</x:v>
      </x:c>
      <x:c r="I15" s="208" t="n">
        <x:v>721</x:v>
      </x:c>
      <x:c r="J15" s="208" t="n">
        <x:v>1998</x:v>
      </x:c>
      <x:c r="K15" s="208" t="n">
        <x:v>352</x:v>
      </x:c>
      <x:c r="L15" s="208" t="n">
        <x:v>1611</x:v>
      </x:c>
      <x:c r="M15" s="208" t="str">
        <x:v>BATH-BR-SLD-BRG</x:v>
      </x:c>
      <x:c r="N15" s="208" t="str">
        <x:v>COMPLETE</x:v>
      </x:c>
      <x:c r="O15" s="186" t="str">
        <x:v>BATH-EV-006</x:v>
      </x:c>
      <x:c r="P15" s="36"/>
      <x:c r="Q15" s="36"/>
      <x:c r="R15" s="37"/>
    </x:row>
    <x:row r="16">
      <x:c r="A16" s="184" t="str">
        <x:v>BATH-SZ-SLD-BRG-OFFSET_L195</x:v>
      </x:c>
      <x:c r="B16" s="185" t="str">
        <x:v>RPL_BATH_SLD</x:v>
      </x:c>
      <x:c r="C16" s="185" t="str">
        <x:v>BATH-BRG</x:v>
      </x:c>
      <x:c r="D16" s="185" t="str">
        <x:v>OFFSET_L195</x:v>
      </x:c>
      <x:c r="E16" s="185" t="n">
        <x:v>810</x:v>
      </x:c>
      <x:c r="F16" s="185" t="n">
        <x:v>2087</x:v>
      </x:c>
      <x:c r="G16" s="208" t="n">
        <x:v>342</x:v>
      </x:c>
      <x:c r="H16" s="208" t="n">
        <x:v>1601</x:v>
      </x:c>
      <x:c r="I16" s="208" t="n">
        <x:v>820</x:v>
      </x:c>
      <x:c r="J16" s="208" t="n">
        <x:v>2097</x:v>
      </x:c>
      <x:c r="K16" s="208" t="n">
        <x:v>352</x:v>
      </x:c>
      <x:c r="L16" s="208" t="n">
        <x:v>1611</x:v>
      </x:c>
      <x:c r="M16" s="208" t="str">
        <x:v>BATH-BR-SLD-BRG</x:v>
      </x:c>
      <x:c r="N16" s="208" t="str">
        <x:v>COMPLETE</x:v>
      </x:c>
      <x:c r="O16" s="186" t="str">
        <x:v>BATH-EV-006</x:v>
      </x:c>
      <x:c r="P16" s="36"/>
      <x:c r="Q16" s="36"/>
      <x:c r="R16" s="37"/>
    </x:row>
    <x:row r="17">
      <x:c r="A17" s="184" t="str">
        <x:v>BATH-SZ-SLD-BRG-OFFSET_R95</x:v>
      </x:c>
      <x:c r="B17" s="185" t="str">
        <x:v>RPL_BATH_SLD</x:v>
      </x:c>
      <x:c r="C17" s="185" t="str">
        <x:v>BATH-BRG</x:v>
      </x:c>
      <x:c r="D17" s="185" t="str">
        <x:v>OFFSET_R95</x:v>
      </x:c>
      <x:c r="E17" s="185" t="n">
        <x:v>711</x:v>
      </x:c>
      <x:c r="F17" s="185" t="n">
        <x:v>1988</x:v>
      </x:c>
      <x:c r="G17" s="208" t="n">
        <x:v>342</x:v>
      </x:c>
      <x:c r="H17" s="208" t="n">
        <x:v>1601</x:v>
      </x:c>
      <x:c r="I17" s="208" t="n">
        <x:v>721</x:v>
      </x:c>
      <x:c r="J17" s="208" t="n">
        <x:v>1998</x:v>
      </x:c>
      <x:c r="K17" s="208" t="n">
        <x:v>352</x:v>
      </x:c>
      <x:c r="L17" s="208" t="n">
        <x:v>1611</x:v>
      </x:c>
      <x:c r="M17" s="208" t="str">
        <x:v>BATH-BR-SLD-BRG</x:v>
      </x:c>
      <x:c r="N17" s="208" t="str">
        <x:v>COMPLETE</x:v>
      </x:c>
      <x:c r="O17" s="186" t="str">
        <x:v>BATH-EV-006</x:v>
      </x:c>
      <x:c r="P17" s="36"/>
      <x:c r="Q17" s="36"/>
      <x:c r="R17" s="37"/>
    </x:row>
    <x:row r="18">
      <x:c r="A18" s="184" t="str">
        <x:v>BATH-SZ-SLD-BRG-OFFSET_R195</x:v>
      </x:c>
      <x:c r="B18" s="185" t="str">
        <x:v>RPL_BATH_SLD</x:v>
      </x:c>
      <x:c r="C18" s="185" t="str">
        <x:v>BATH-BRG</x:v>
      </x:c>
      <x:c r="D18" s="185" t="str">
        <x:v>OFFSET_R195</x:v>
      </x:c>
      <x:c r="E18" s="185" t="n">
        <x:v>810</x:v>
      </x:c>
      <x:c r="F18" s="185" t="n">
        <x:v>2087</x:v>
      </x:c>
      <x:c r="G18" s="208" t="n">
        <x:v>342</x:v>
      </x:c>
      <x:c r="H18" s="208" t="n">
        <x:v>1601</x:v>
      </x:c>
      <x:c r="I18" s="208" t="n">
        <x:v>820</x:v>
      </x:c>
      <x:c r="J18" s="208" t="n">
        <x:v>2097</x:v>
      </x:c>
      <x:c r="K18" s="208" t="n">
        <x:v>352</x:v>
      </x:c>
      <x:c r="L18" s="208" t="n">
        <x:v>1611</x:v>
      </x:c>
      <x:c r="M18" s="208" t="str">
        <x:v>BATH-BR-SLD-BRG</x:v>
      </x:c>
      <x:c r="N18" s="208" t="str">
        <x:v>COMPLETE</x:v>
      </x:c>
      <x:c r="O18" s="186" t="str">
        <x:v>BATH-EV-006</x:v>
      </x:c>
      <x:c r="P18" s="36"/>
      <x:c r="Q18" s="36"/>
      <x:c r="R18" s="37"/>
    </x:row>
    <x:row r="19">
      <x:c r="A19" s="184" t="str">
        <x:v>BATH-SZ-SLD-BRG-CUTOUT</x:v>
      </x:c>
      <x:c r="B19" s="185" t="str">
        <x:v>RPL_BATH_SLD</x:v>
      </x:c>
      <x:c r="C19" s="185" t="str">
        <x:v>BATH-BRG</x:v>
      </x:c>
      <x:c r="D19" s="185" t="str">
        <x:v>CUTOUT</x:v>
      </x:c>
      <x:c r="E19" s="185" t="n">
        <x:v>647</x:v>
      </x:c>
      <x:c r="F19" s="185" t="n">
        <x:v>1924</x:v>
      </x:c>
      <x:c r="G19" s="208" t="n">
        <x:v>342</x:v>
      </x:c>
      <x:c r="H19" s="208" t="n">
        <x:v>1601</x:v>
      </x:c>
      <x:c r="I19" s="208" t="n">
        <x:v>657</x:v>
      </x:c>
      <x:c r="J19" s="208" t="n">
        <x:v>1934</x:v>
      </x:c>
      <x:c r="K19" s="208" t="n">
        <x:v>352</x:v>
      </x:c>
      <x:c r="L19" s="208" t="n">
        <x:v>1611</x:v>
      </x:c>
      <x:c r="M19" s="208" t="str">
        <x:v>BATH-BR-SLD-BRG</x:v>
      </x:c>
      <x:c r="N19" s="208" t="str">
        <x:v>COMPLETE</x:v>
      </x:c>
      <x:c r="O19" s="186" t="str">
        <x:v>BATH-EV-006</x:v>
      </x:c>
      <x:c r="P19" s="36"/>
      <x:c r="Q19" s="36"/>
      <x:c r="R19" s="37"/>
    </x:row>
    <x:row r="20">
      <x:c r="A20" s="184" t="str">
        <x:v>BATH-SZ-SLD-BRG-WINDOW_ONLY</x:v>
      </x:c>
      <x:c r="B20" s="185" t="str">
        <x:v>RPL_BATH_SLD</x:v>
      </x:c>
      <x:c r="C20" s="185" t="str">
        <x:v>BATH-BRG</x:v>
      </x:c>
      <x:c r="D20" s="185" t="str">
        <x:v>WINDOW_ONLY</x:v>
      </x:c>
      <x:c r="E20" s="185" t="n">
        <x:v>647</x:v>
      </x:c>
      <x:c r="F20" s="185" t="n">
        <x:v>1924</x:v>
      </x:c>
      <x:c r="G20" s="208" t="n">
        <x:v>342</x:v>
      </x:c>
      <x:c r="H20" s="208" t="n">
        <x:v>1601</x:v>
      </x:c>
      <x:c r="I20" s="208" t="n">
        <x:v>657</x:v>
      </x:c>
      <x:c r="J20" s="208" t="n">
        <x:v>1934</x:v>
      </x:c>
      <x:c r="K20" s="208" t="n">
        <x:v>352</x:v>
      </x:c>
      <x:c r="L20" s="208" t="n">
        <x:v>1611</x:v>
      </x:c>
      <x:c r="M20" s="208" t="str">
        <x:v>BATH-BR-SLD-BRG</x:v>
      </x:c>
      <x:c r="N20" s="208" t="str">
        <x:v>COMPLETE</x:v>
      </x:c>
      <x:c r="O20" s="186" t="str">
        <x:v>BATH-EV-006</x:v>
      </x:c>
      <x:c r="P20" s="36"/>
      <x:c r="Q20" s="36"/>
      <x:c r="R20" s="37"/>
    </x:row>
    <x:row r="21">
      <x:c r="A21" s="184" t="str">
        <x:v>BATH-SZ-VSOP-OFFSET_L95</x:v>
      </x:c>
      <x:c r="B21" s="185" t="str">
        <x:v>RPL_BATH_VSOP</x:v>
      </x:c>
      <x:c r="C21" s="185" t="str">
        <x:v>BATH-STD</x:v>
      </x:c>
      <x:c r="D21" s="185" t="str">
        <x:v>OFFSET_L95</x:v>
      </x:c>
      <x:c r="E21" s="185" t="n">
        <x:v>331</x:v>
      </x:c>
      <x:c r="F21" s="185" t="n">
        <x:v>861</x:v>
      </x:c>
      <x:c r="G21" s="208" t="n">
        <x:v>376</x:v>
      </x:c>
      <x:c r="H21" s="208" t="n">
        <x:v>1601</x:v>
      </x:c>
      <x:c r="I21" s="208" t="n">
        <x:v>341</x:v>
      </x:c>
      <x:c r="J21" s="208" t="n">
        <x:v>871</x:v>
      </x:c>
      <x:c r="K21" s="208" t="n">
        <x:v>386</x:v>
      </x:c>
      <x:c r="L21" s="208" t="n">
        <x:v>1611</x:v>
      </x:c>
      <x:c r="M21" s="208" t="str">
        <x:v>BATH-BR-VSOP</x:v>
      </x:c>
      <x:c r="N21" s="208" t="str">
        <x:v>COMPLETE</x:v>
      </x:c>
      <x:c r="O21" s="186" t="str">
        <x:v>BATH-EV-007</x:v>
      </x:c>
      <x:c r="P21" s="39"/>
      <x:c r="Q21" s="39"/>
      <x:c r="R21" s="40"/>
    </x:row>
    <x:row r="22">
      <x:c r="A22" s="184" t="str">
        <x:v>BATH-SZ-VSOP-OFFSET_R95</x:v>
      </x:c>
      <x:c r="B22" s="185" t="str">
        <x:v>RPL_BATH_VSOP</x:v>
      </x:c>
      <x:c r="C22" s="185" t="str">
        <x:v>BATH-STD</x:v>
      </x:c>
      <x:c r="D22" s="185" t="str">
        <x:v>OFFSET_R95</x:v>
      </x:c>
      <x:c r="E22" s="185" t="n">
        <x:v>331</x:v>
      </x:c>
      <x:c r="F22" s="185" t="n">
        <x:v>861</x:v>
      </x:c>
      <x:c r="G22" s="185" t="n">
        <x:v>376</x:v>
      </x:c>
      <x:c r="H22" s="185" t="n">
        <x:v>1601</x:v>
      </x:c>
      <x:c r="I22" s="185" t="n">
        <x:v>341</x:v>
      </x:c>
      <x:c r="J22" s="185" t="n">
        <x:v>871</x:v>
      </x:c>
      <x:c r="K22" s="185" t="n">
        <x:v>386</x:v>
      </x:c>
      <x:c r="L22" s="185" t="n">
        <x:v>1611</x:v>
      </x:c>
      <x:c r="M22" s="185" t="str">
        <x:v>BATH-BR-VSOP</x:v>
      </x:c>
      <x:c r="N22" s="185" t="str">
        <x:v>COMPLETE</x:v>
      </x:c>
      <x:c r="O22" s="186" t="str">
        <x:v>BATH-EV-007</x:v>
      </x:c>
    </x:row>
    <x:row r="23">
      <x:c r="A23" s="184" t="str">
        <x:v>BATH-SZ-VSOP-OFFSET_L195</x:v>
      </x:c>
      <x:c r="B23" s="185" t="str">
        <x:v>RPL_BATH_VSOP</x:v>
      </x:c>
      <x:c r="C23" s="185" t="str">
        <x:v>BATH-STD</x:v>
      </x:c>
      <x:c r="D23" s="185" t="str">
        <x:v>OFFSET_L195</x:v>
      </x:c>
      <x:c r="E23" s="185" t="n">
        <x:v>430</x:v>
      </x:c>
      <x:c r="F23" s="185" t="n">
        <x:v>960</x:v>
      </x:c>
      <x:c r="G23" s="185" t="n">
        <x:v>376</x:v>
      </x:c>
      <x:c r="H23" s="185" t="n">
        <x:v>1601</x:v>
      </x:c>
      <x:c r="I23" s="185" t="n">
        <x:v>440</x:v>
      </x:c>
      <x:c r="J23" s="185" t="n">
        <x:v>970</x:v>
      </x:c>
      <x:c r="K23" s="185" t="n">
        <x:v>386</x:v>
      </x:c>
      <x:c r="L23" s="185" t="n">
        <x:v>1611</x:v>
      </x:c>
      <x:c r="M23" s="185" t="str">
        <x:v>BATH-BR-VSOP</x:v>
      </x:c>
      <x:c r="N23" s="185" t="str">
        <x:v>COMPLETE</x:v>
      </x:c>
      <x:c r="O23" s="186" t="str">
        <x:v>BATH-EV-007</x:v>
      </x:c>
    </x:row>
    <x:row r="24">
      <x:c r="A24" s="184" t="str">
        <x:v>BATH-SZ-VSOP-OFFSET_R195</x:v>
      </x:c>
      <x:c r="B24" s="185" t="str">
        <x:v>RPL_BATH_VSOP</x:v>
      </x:c>
      <x:c r="C24" s="185" t="str">
        <x:v>BATH-STD</x:v>
      </x:c>
      <x:c r="D24" s="185" t="str">
        <x:v>OFFSET_R195</x:v>
      </x:c>
      <x:c r="E24" s="185" t="n">
        <x:v>430</x:v>
      </x:c>
      <x:c r="F24" s="185" t="n">
        <x:v>960</x:v>
      </x:c>
      <x:c r="G24" s="185" t="n">
        <x:v>376</x:v>
      </x:c>
      <x:c r="H24" s="185" t="n">
        <x:v>1601</x:v>
      </x:c>
      <x:c r="I24" s="185" t="n">
        <x:v>440</x:v>
      </x:c>
      <x:c r="J24" s="185" t="n">
        <x:v>970</x:v>
      </x:c>
      <x:c r="K24" s="185" t="n">
        <x:v>386</x:v>
      </x:c>
      <x:c r="L24" s="185" t="n">
        <x:v>1611</x:v>
      </x:c>
      <x:c r="M24" s="185" t="str">
        <x:v>BATH-BR-VSOP</x:v>
      </x:c>
      <x:c r="N24" s="185" t="str">
        <x:v>COMPLETE</x:v>
      </x:c>
      <x:c r="O24" s="186" t="str">
        <x:v>BATH-EV-007</x:v>
      </x:c>
    </x:row>
    <x:row r="25">
      <x:c r="A25" s="184" t="str">
        <x:v>BATH-SZ-VSOP-CUTOUT</x:v>
      </x:c>
      <x:c r="B25" s="185" t="str">
        <x:v>RPL_BATH_VSOP</x:v>
      </x:c>
      <x:c r="C25" s="185" t="str">
        <x:v>BATH-STD</x:v>
      </x:c>
      <x:c r="D25" s="185" t="str">
        <x:v>CUTOUT</x:v>
      </x:c>
      <x:c r="E25" s="185" t="n">
        <x:v>267</x:v>
      </x:c>
      <x:c r="F25" s="185" t="n">
        <x:v>797</x:v>
      </x:c>
      <x:c r="G25" s="185" t="n">
        <x:v>376</x:v>
      </x:c>
      <x:c r="H25" s="185" t="n">
        <x:v>1601</x:v>
      </x:c>
      <x:c r="I25" s="185" t="n">
        <x:v>277</x:v>
      </x:c>
      <x:c r="J25" s="185" t="n">
        <x:v>807</x:v>
      </x:c>
      <x:c r="K25" s="185" t="n">
        <x:v>386</x:v>
      </x:c>
      <x:c r="L25" s="185" t="n">
        <x:v>1611</x:v>
      </x:c>
      <x:c r="M25" s="185" t="str">
        <x:v>BATH-BR-VSOP</x:v>
      </x:c>
      <x:c r="N25" s="185" t="str">
        <x:v>COMPLETE</x:v>
      </x:c>
      <x:c r="O25" s="186" t="str">
        <x:v>BATH-EV-007</x:v>
      </x:c>
    </x:row>
    <x:row r="26">
      <x:c r="A26" s="184" t="str">
        <x:v>BATH-SZ-VSOP-WINDOW_ONLY</x:v>
      </x:c>
      <x:c r="B26" s="185" t="str">
        <x:v>RPL_BATH_VSOP</x:v>
      </x:c>
      <x:c r="C26" s="185" t="str">
        <x:v>BATH-STD</x:v>
      </x:c>
      <x:c r="D26" s="185" t="str">
        <x:v>WINDOW_ONLY</x:v>
      </x:c>
      <x:c r="E26" s="185" t="n">
        <x:v>267</x:v>
      </x:c>
      <x:c r="F26" s="185" t="n">
        <x:v>797</x:v>
      </x:c>
      <x:c r="G26" s="185" t="n">
        <x:v>376</x:v>
      </x:c>
      <x:c r="H26" s="185" t="n">
        <x:v>1601</x:v>
      </x:c>
      <x:c r="I26" s="185" t="n">
        <x:v>277</x:v>
      </x:c>
      <x:c r="J26" s="185" t="n">
        <x:v>807</x:v>
      </x:c>
      <x:c r="K26" s="185" t="n">
        <x:v>386</x:v>
      </x:c>
      <x:c r="L26" s="185" t="n">
        <x:v>1611</x:v>
      </x:c>
      <x:c r="M26" s="185" t="str">
        <x:v>BATH-BR-VSOP</x:v>
      </x:c>
      <x:c r="N26" s="185" t="str">
        <x:v>COMPLETE</x:v>
      </x:c>
      <x:c r="O26" s="186" t="str">
        <x:v>BATH-EV-007</x:v>
      </x:c>
    </x:row>
    <x:row r="27">
      <x:c r="A27" s="184" t="str">
        <x:v>BATH-SZ-VSCAM-OFFSET_L95</x:v>
      </x:c>
      <x:c r="B27" s="185" t="str">
        <x:v>RPL_BATH_VSCAM</x:v>
      </x:c>
      <x:c r="C27" s="185" t="str">
        <x:v>BATH-STD</x:v>
      </x:c>
      <x:c r="D27" s="185" t="str">
        <x:v>OFFSET_L95</x:v>
      </x:c>
      <x:c r="E27" s="185" t="n">
        <x:v>331</x:v>
      </x:c>
      <x:c r="F27" s="185" t="n">
        <x:v>731</x:v>
      </x:c>
      <x:c r="G27" s="185" t="n">
        <x:v>346</x:v>
      </x:c>
      <x:c r="H27" s="185" t="n">
        <x:v>1601</x:v>
      </x:c>
      <x:c r="I27" s="185" t="n">
        <x:v>341</x:v>
      </x:c>
      <x:c r="J27" s="185" t="n">
        <x:v>741</x:v>
      </x:c>
      <x:c r="K27" s="185" t="n">
        <x:v>356</x:v>
      </x:c>
      <x:c r="L27" s="185" t="n">
        <x:v>1611</x:v>
      </x:c>
      <x:c r="M27" s="185" t="str">
        <x:v>BATH-BR-VSCAM</x:v>
      </x:c>
      <x:c r="N27" s="185" t="str">
        <x:v>COMPLETE_WITH_EXTERNAL_CHECK</x:v>
      </x:c>
      <x:c r="O27" s="186" t="str">
        <x:v>BATH-EV-007</x:v>
      </x:c>
    </x:row>
    <x:row r="28">
      <x:c r="A28" s="184" t="str">
        <x:v>BATH-SZ-VSCAM-OFFSET_R95</x:v>
      </x:c>
      <x:c r="B28" s="185" t="str">
        <x:v>RPL_BATH_VSCAM</x:v>
      </x:c>
      <x:c r="C28" s="185" t="str">
        <x:v>BATH-STD</x:v>
      </x:c>
      <x:c r="D28" s="185" t="str">
        <x:v>OFFSET_R95</x:v>
      </x:c>
      <x:c r="E28" s="185" t="n">
        <x:v>331</x:v>
      </x:c>
      <x:c r="F28" s="185" t="n">
        <x:v>731</x:v>
      </x:c>
      <x:c r="G28" s="185" t="n">
        <x:v>346</x:v>
      </x:c>
      <x:c r="H28" s="185" t="n">
        <x:v>1601</x:v>
      </x:c>
      <x:c r="I28" s="185" t="n">
        <x:v>341</x:v>
      </x:c>
      <x:c r="J28" s="185" t="n">
        <x:v>741</x:v>
      </x:c>
      <x:c r="K28" s="185" t="n">
        <x:v>356</x:v>
      </x:c>
      <x:c r="L28" s="185" t="n">
        <x:v>1611</x:v>
      </x:c>
      <x:c r="M28" s="185" t="str">
        <x:v>BATH-BR-VSCAM</x:v>
      </x:c>
      <x:c r="N28" s="185" t="str">
        <x:v>COMPLETE_WITH_EXTERNAL_CHECK</x:v>
      </x:c>
      <x:c r="O28" s="186" t="str">
        <x:v>BATH-EV-007</x:v>
      </x:c>
    </x:row>
    <x:row r="29">
      <x:c r="A29" s="184" t="str">
        <x:v>BATH-SZ-VSCAM-OFFSET_L195</x:v>
      </x:c>
      <x:c r="B29" s="185" t="str">
        <x:v>RPL_BATH_VSCAM</x:v>
      </x:c>
      <x:c r="C29" s="185" t="str">
        <x:v>BATH-STD</x:v>
      </x:c>
      <x:c r="D29" s="185" t="str">
        <x:v>OFFSET_L195</x:v>
      </x:c>
      <x:c r="E29" s="185" t="n">
        <x:v>430</x:v>
      </x:c>
      <x:c r="F29" s="185" t="n">
        <x:v>830</x:v>
      </x:c>
      <x:c r="G29" s="185" t="n">
        <x:v>346</x:v>
      </x:c>
      <x:c r="H29" s="185" t="n">
        <x:v>1601</x:v>
      </x:c>
      <x:c r="I29" s="185" t="n">
        <x:v>440</x:v>
      </x:c>
      <x:c r="J29" s="185" t="n">
        <x:v>840</x:v>
      </x:c>
      <x:c r="K29" s="185" t="n">
        <x:v>356</x:v>
      </x:c>
      <x:c r="L29" s="185" t="n">
        <x:v>1611</x:v>
      </x:c>
      <x:c r="M29" s="185" t="str">
        <x:v>BATH-BR-VSCAM</x:v>
      </x:c>
      <x:c r="N29" s="185" t="str">
        <x:v>COMPLETE_WITH_EXTERNAL_CHECK</x:v>
      </x:c>
      <x:c r="O29" s="186" t="str">
        <x:v>BATH-EV-007</x:v>
      </x:c>
    </x:row>
    <x:row r="30">
      <x:c r="A30" s="184" t="str">
        <x:v>BATH-SZ-VSCAM-OFFSET_R195</x:v>
      </x:c>
      <x:c r="B30" s="185" t="str">
        <x:v>RPL_BATH_VSCAM</x:v>
      </x:c>
      <x:c r="C30" s="185" t="str">
        <x:v>BATH-STD</x:v>
      </x:c>
      <x:c r="D30" s="185" t="str">
        <x:v>OFFSET_R195</x:v>
      </x:c>
      <x:c r="E30" s="185" t="n">
        <x:v>430</x:v>
      </x:c>
      <x:c r="F30" s="185" t="n">
        <x:v>830</x:v>
      </x:c>
      <x:c r="G30" s="185" t="n">
        <x:v>346</x:v>
      </x:c>
      <x:c r="H30" s="185" t="n">
        <x:v>1601</x:v>
      </x:c>
      <x:c r="I30" s="185" t="n">
        <x:v>440</x:v>
      </x:c>
      <x:c r="J30" s="185" t="n">
        <x:v>840</x:v>
      </x:c>
      <x:c r="K30" s="185" t="n">
        <x:v>356</x:v>
      </x:c>
      <x:c r="L30" s="185" t="n">
        <x:v>1611</x:v>
      </x:c>
      <x:c r="M30" s="185" t="str">
        <x:v>BATH-BR-VSCAM</x:v>
      </x:c>
      <x:c r="N30" s="185" t="str">
        <x:v>COMPLETE_WITH_EXTERNAL_CHECK</x:v>
      </x:c>
      <x:c r="O30" s="186" t="str">
        <x:v>BATH-EV-007</x:v>
      </x:c>
    </x:row>
    <x:row r="31">
      <x:c r="A31" s="184" t="str">
        <x:v>BATH-SZ-VSCAM-CUTOUT</x:v>
      </x:c>
      <x:c r="B31" s="185" t="str">
        <x:v>RPL_BATH_VSCAM</x:v>
      </x:c>
      <x:c r="C31" s="185" t="str">
        <x:v>BATH-STD</x:v>
      </x:c>
      <x:c r="D31" s="185" t="str">
        <x:v>CUTOUT</x:v>
      </x:c>
      <x:c r="E31" s="185" t="n">
        <x:v>267</x:v>
      </x:c>
      <x:c r="F31" s="185" t="n">
        <x:v>667</x:v>
      </x:c>
      <x:c r="G31" s="185" t="n">
        <x:v>346</x:v>
      </x:c>
      <x:c r="H31" s="185" t="n">
        <x:v>1601</x:v>
      </x:c>
      <x:c r="I31" s="185" t="n">
        <x:v>277</x:v>
      </x:c>
      <x:c r="J31" s="185" t="n">
        <x:v>677</x:v>
      </x:c>
      <x:c r="K31" s="185" t="n">
        <x:v>356</x:v>
      </x:c>
      <x:c r="L31" s="185" t="n">
        <x:v>1611</x:v>
      </x:c>
      <x:c r="M31" s="185" t="str">
        <x:v>BATH-BR-VSCAM</x:v>
      </x:c>
      <x:c r="N31" s="185" t="str">
        <x:v>COMPLETE_WITH_EXTERNAL_CHECK</x:v>
      </x:c>
      <x:c r="O31" s="186" t="str">
        <x:v>BATH-EV-007</x:v>
      </x:c>
    </x:row>
    <x:row r="32">
      <x:c r="A32" s="184" t="str">
        <x:v>BATH-SZ-VSCAM-WINDOW_ONLY</x:v>
      </x:c>
      <x:c r="B32" s="185" t="str">
        <x:v>RPL_BATH_VSCAM</x:v>
      </x:c>
      <x:c r="C32" s="185" t="str">
        <x:v>BATH-STD</x:v>
      </x:c>
      <x:c r="D32" s="185" t="str">
        <x:v>WINDOW_ONLY</x:v>
      </x:c>
      <x:c r="E32" s="185" t="n">
        <x:v>267</x:v>
      </x:c>
      <x:c r="F32" s="185" t="n">
        <x:v>667</x:v>
      </x:c>
      <x:c r="G32" s="185" t="n">
        <x:v>346</x:v>
      </x:c>
      <x:c r="H32" s="185" t="n">
        <x:v>1601</x:v>
      </x:c>
      <x:c r="I32" s="185" t="n">
        <x:v>277</x:v>
      </x:c>
      <x:c r="J32" s="185" t="n">
        <x:v>677</x:v>
      </x:c>
      <x:c r="K32" s="185" t="n">
        <x:v>356</x:v>
      </x:c>
      <x:c r="L32" s="185" t="n">
        <x:v>1611</x:v>
      </x:c>
      <x:c r="M32" s="185" t="str">
        <x:v>BATH-BR-VSCAM</x:v>
      </x:c>
      <x:c r="N32" s="185" t="str">
        <x:v>COMPLETE_WITH_EXTERNAL_CHECK</x:v>
      </x:c>
      <x:c r="O32" s="186" t="str">
        <x:v>BATH-EV-007</x:v>
      </x:c>
    </x:row>
    <x:row r="33">
      <x:c r="A33" s="184" t="str">
        <x:v>BATH-SZ-HSOP-OFFSET_L95</x:v>
      </x:c>
      <x:c r="B33" s="185" t="str">
        <x:v>RPL_BATH_HSOP</x:v>
      </x:c>
      <x:c r="C33" s="185" t="str">
        <x:v>BATH-STD</x:v>
      </x:c>
      <x:c r="D33" s="185" t="str">
        <x:v>OFFSET_L95</x:v>
      </x:c>
      <x:c r="E33" s="185" t="n">
        <x:v>381</x:v>
      </x:c>
      <x:c r="F33" s="185" t="n">
        <x:v>1316</x:v>
      </x:c>
      <x:c r="G33" s="185" t="n">
        <x:v>316</x:v>
      </x:c>
      <x:c r="H33" s="185" t="n">
        <x:v>1251</x:v>
      </x:c>
      <x:c r="I33" s="185" t="n">
        <x:v>391</x:v>
      </x:c>
      <x:c r="J33" s="185" t="n">
        <x:v>1326</x:v>
      </x:c>
      <x:c r="K33" s="185" t="n">
        <x:v>326</x:v>
      </x:c>
      <x:c r="L33" s="185" t="n">
        <x:v>1261</x:v>
      </x:c>
      <x:c r="M33" s="185" t="str">
        <x:v>BATH-BR-HSOP</x:v>
      </x:c>
      <x:c r="N33" s="185" t="str">
        <x:v>COMPLETE_WITH_EXTERNAL_CHECK</x:v>
      </x:c>
      <x:c r="O33" s="186" t="str">
        <x:v>BATH-EV-007</x:v>
      </x:c>
    </x:row>
    <x:row r="34">
      <x:c r="A34" s="184" t="str">
        <x:v>BATH-SZ-HSOP-OFFSET_R95</x:v>
      </x:c>
      <x:c r="B34" s="185" t="str">
        <x:v>RPL_BATH_HSOP</x:v>
      </x:c>
      <x:c r="C34" s="185" t="str">
        <x:v>BATH-STD</x:v>
      </x:c>
      <x:c r="D34" s="185" t="str">
        <x:v>OFFSET_R95</x:v>
      </x:c>
      <x:c r="E34" s="185" t="n">
        <x:v>381</x:v>
      </x:c>
      <x:c r="F34" s="185" t="n">
        <x:v>1316</x:v>
      </x:c>
      <x:c r="G34" s="185" t="n">
        <x:v>316</x:v>
      </x:c>
      <x:c r="H34" s="185" t="n">
        <x:v>1251</x:v>
      </x:c>
      <x:c r="I34" s="185" t="n">
        <x:v>391</x:v>
      </x:c>
      <x:c r="J34" s="185" t="n">
        <x:v>1326</x:v>
      </x:c>
      <x:c r="K34" s="185" t="n">
        <x:v>326</x:v>
      </x:c>
      <x:c r="L34" s="185" t="n">
        <x:v>1261</x:v>
      </x:c>
      <x:c r="M34" s="185" t="str">
        <x:v>BATH-BR-HSOP</x:v>
      </x:c>
      <x:c r="N34" s="185" t="str">
        <x:v>COMPLETE_WITH_EXTERNAL_CHECK</x:v>
      </x:c>
      <x:c r="O34" s="186" t="str">
        <x:v>BATH-EV-007</x:v>
      </x:c>
    </x:row>
    <x:row r="35">
      <x:c r="A35" s="184" t="str">
        <x:v>BATH-SZ-HSOP-OFFSET_L195</x:v>
      </x:c>
      <x:c r="B35" s="185" t="str">
        <x:v>RPL_BATH_HSOP</x:v>
      </x:c>
      <x:c r="C35" s="185" t="str">
        <x:v>BATH-STD</x:v>
      </x:c>
      <x:c r="D35" s="185" t="str">
        <x:v>OFFSET_L195</x:v>
      </x:c>
      <x:c r="E35" s="185" t="n">
        <x:v>480</x:v>
      </x:c>
      <x:c r="F35" s="185" t="n">
        <x:v>1415</x:v>
      </x:c>
      <x:c r="G35" s="185" t="n">
        <x:v>316</x:v>
      </x:c>
      <x:c r="H35" s="185" t="n">
        <x:v>1251</x:v>
      </x:c>
      <x:c r="I35" s="185" t="n">
        <x:v>490</x:v>
      </x:c>
      <x:c r="J35" s="185" t="n">
        <x:v>1425</x:v>
      </x:c>
      <x:c r="K35" s="185" t="n">
        <x:v>326</x:v>
      </x:c>
      <x:c r="L35" s="185" t="n">
        <x:v>1261</x:v>
      </x:c>
      <x:c r="M35" s="185" t="str">
        <x:v>BATH-BR-HSOP</x:v>
      </x:c>
      <x:c r="N35" s="185" t="str">
        <x:v>COMPLETE_WITH_EXTERNAL_CHECK</x:v>
      </x:c>
      <x:c r="O35" s="186" t="str">
        <x:v>BATH-EV-007</x:v>
      </x:c>
    </x:row>
    <x:row r="36">
      <x:c r="A36" s="184" t="str">
        <x:v>BATH-SZ-HSOP-OFFSET_R195</x:v>
      </x:c>
      <x:c r="B36" s="185" t="str">
        <x:v>RPL_BATH_HSOP</x:v>
      </x:c>
      <x:c r="C36" s="185" t="str">
        <x:v>BATH-STD</x:v>
      </x:c>
      <x:c r="D36" s="185" t="str">
        <x:v>OFFSET_R195</x:v>
      </x:c>
      <x:c r="E36" s="185" t="n">
        <x:v>480</x:v>
      </x:c>
      <x:c r="F36" s="185" t="n">
        <x:v>1415</x:v>
      </x:c>
      <x:c r="G36" s="185" t="n">
        <x:v>316</x:v>
      </x:c>
      <x:c r="H36" s="185" t="n">
        <x:v>1251</x:v>
      </x:c>
      <x:c r="I36" s="185" t="n">
        <x:v>490</x:v>
      </x:c>
      <x:c r="J36" s="185" t="n">
        <x:v>1425</x:v>
      </x:c>
      <x:c r="K36" s="185" t="n">
        <x:v>326</x:v>
      </x:c>
      <x:c r="L36" s="185" t="n">
        <x:v>1261</x:v>
      </x:c>
      <x:c r="M36" s="185" t="str">
        <x:v>BATH-BR-HSOP</x:v>
      </x:c>
      <x:c r="N36" s="185" t="str">
        <x:v>COMPLETE_WITH_EXTERNAL_CHECK</x:v>
      </x:c>
      <x:c r="O36" s="186" t="str">
        <x:v>BATH-EV-007</x:v>
      </x:c>
    </x:row>
    <x:row r="37">
      <x:c r="A37" s="184" t="str">
        <x:v>BATH-SZ-HSOP-CUTOUT</x:v>
      </x:c>
      <x:c r="B37" s="185" t="str">
        <x:v>RPL_BATH_HSOP</x:v>
      </x:c>
      <x:c r="C37" s="185" t="str">
        <x:v>BATH-STD</x:v>
      </x:c>
      <x:c r="D37" s="185" t="str">
        <x:v>CUTOUT</x:v>
      </x:c>
      <x:c r="E37" s="185" t="n">
        <x:v>317</x:v>
      </x:c>
      <x:c r="F37" s="185" t="n">
        <x:v>1252</x:v>
      </x:c>
      <x:c r="G37" s="185" t="n">
        <x:v>316</x:v>
      </x:c>
      <x:c r="H37" s="185" t="n">
        <x:v>1251</x:v>
      </x:c>
      <x:c r="I37" s="185" t="n">
        <x:v>327</x:v>
      </x:c>
      <x:c r="J37" s="185" t="n">
        <x:v>1262</x:v>
      </x:c>
      <x:c r="K37" s="185" t="n">
        <x:v>326</x:v>
      </x:c>
      <x:c r="L37" s="185" t="n">
        <x:v>1261</x:v>
      </x:c>
      <x:c r="M37" s="185" t="str">
        <x:v>BATH-BR-HSOP</x:v>
      </x:c>
      <x:c r="N37" s="185" t="str">
        <x:v>COMPLETE_WITH_EXTERNAL_CHECK</x:v>
      </x:c>
      <x:c r="O37" s="186" t="str">
        <x:v>BATH-EV-007</x:v>
      </x:c>
    </x:row>
    <x:row r="38">
      <x:c r="A38" s="184" t="str">
        <x:v>BATH-SZ-HSOP-WINDOW_ONLY</x:v>
      </x:c>
      <x:c r="B38" s="185" t="str">
        <x:v>RPL_BATH_HSOP</x:v>
      </x:c>
      <x:c r="C38" s="185" t="str">
        <x:v>BATH-STD</x:v>
      </x:c>
      <x:c r="D38" s="185" t="str">
        <x:v>WINDOW_ONLY</x:v>
      </x:c>
      <x:c r="E38" s="185" t="n">
        <x:v>317</x:v>
      </x:c>
      <x:c r="F38" s="185" t="n">
        <x:v>1252</x:v>
      </x:c>
      <x:c r="G38" s="185" t="n">
        <x:v>316</x:v>
      </x:c>
      <x:c r="H38" s="185" t="n">
        <x:v>1251</x:v>
      </x:c>
      <x:c r="I38" s="185" t="n">
        <x:v>327</x:v>
      </x:c>
      <x:c r="J38" s="185" t="n">
        <x:v>1262</x:v>
      </x:c>
      <x:c r="K38" s="185" t="n">
        <x:v>326</x:v>
      </x:c>
      <x:c r="L38" s="185" t="n">
        <x:v>1261</x:v>
      </x:c>
      <x:c r="M38" s="185" t="str">
        <x:v>BATH-BR-HSOP</x:v>
      </x:c>
      <x:c r="N38" s="185" t="str">
        <x:v>COMPLETE_WITH_EXTERNAL_CHECK</x:v>
      </x:c>
      <x:c r="O38" s="186" t="str">
        <x:v>BATH-EV-007</x:v>
      </x:c>
    </x:row>
    <x:row r="39">
      <x:c r="A39" s="184" t="str">
        <x:v>BATH-SZ-HSCAM-OFFSET_L95</x:v>
      </x:c>
      <x:c r="B39" s="185" t="str">
        <x:v>RPL_BATH_HSCAM</x:v>
      </x:c>
      <x:c r="C39" s="185" t="str">
        <x:v>BATH-STD</x:v>
      </x:c>
      <x:c r="D39" s="185" t="str">
        <x:v>OFFSET_L95</x:v>
      </x:c>
      <x:c r="E39" s="185" t="n">
        <x:v>381</x:v>
      </x:c>
      <x:c r="F39" s="185" t="n">
        <x:v>951</x:v>
      </x:c>
      <x:c r="G39" s="185" t="n">
        <x:v>316</x:v>
      </x:c>
      <x:c r="H39" s="185" t="n">
        <x:v>1016</x:v>
      </x:c>
      <x:c r="I39" s="185" t="n">
        <x:v>391</x:v>
      </x:c>
      <x:c r="J39" s="185" t="n">
        <x:v>961</x:v>
      </x:c>
      <x:c r="K39" s="185" t="n">
        <x:v>326</x:v>
      </x:c>
      <x:c r="L39" s="185" t="n">
        <x:v>1026</x:v>
      </x:c>
      <x:c r="M39" s="185" t="str">
        <x:v>BATH-BR-HSCAM</x:v>
      </x:c>
      <x:c r="N39" s="185" t="str">
        <x:v>COMPLETE_WITH_EXTERNAL_CHECK</x:v>
      </x:c>
      <x:c r="O39" s="186" t="str">
        <x:v>BATH-EV-007</x:v>
      </x:c>
    </x:row>
    <x:row r="40">
      <x:c r="A40" s="184" t="str">
        <x:v>BATH-SZ-HSCAM-OFFSET_R95</x:v>
      </x:c>
      <x:c r="B40" s="185" t="str">
        <x:v>RPL_BATH_HSCAM</x:v>
      </x:c>
      <x:c r="C40" s="185" t="str">
        <x:v>BATH-STD</x:v>
      </x:c>
      <x:c r="D40" s="185" t="str">
        <x:v>OFFSET_R95</x:v>
      </x:c>
      <x:c r="E40" s="185" t="n">
        <x:v>381</x:v>
      </x:c>
      <x:c r="F40" s="185" t="n">
        <x:v>951</x:v>
      </x:c>
      <x:c r="G40" s="185" t="n">
        <x:v>316</x:v>
      </x:c>
      <x:c r="H40" s="185" t="n">
        <x:v>1016</x:v>
      </x:c>
      <x:c r="I40" s="185" t="n">
        <x:v>391</x:v>
      </x:c>
      <x:c r="J40" s="185" t="n">
        <x:v>961</x:v>
      </x:c>
      <x:c r="K40" s="185" t="n">
        <x:v>326</x:v>
      </x:c>
      <x:c r="L40" s="185" t="n">
        <x:v>1026</x:v>
      </x:c>
      <x:c r="M40" s="185" t="str">
        <x:v>BATH-BR-HSCAM</x:v>
      </x:c>
      <x:c r="N40" s="185" t="str">
        <x:v>COMPLETE_WITH_EXTERNAL_CHECK</x:v>
      </x:c>
      <x:c r="O40" s="186" t="str">
        <x:v>BATH-EV-007</x:v>
      </x:c>
    </x:row>
    <x:row r="41">
      <x:c r="A41" s="184" t="str">
        <x:v>BATH-SZ-HSCAM-OFFSET_L195</x:v>
      </x:c>
      <x:c r="B41" s="185" t="str">
        <x:v>RPL_BATH_HSCAM</x:v>
      </x:c>
      <x:c r="C41" s="185" t="str">
        <x:v>BATH-STD</x:v>
      </x:c>
      <x:c r="D41" s="185" t="str">
        <x:v>OFFSET_L195</x:v>
      </x:c>
      <x:c r="E41" s="185" t="n">
        <x:v>480</x:v>
      </x:c>
      <x:c r="F41" s="185" t="n">
        <x:v>1050</x:v>
      </x:c>
      <x:c r="G41" s="185" t="n">
        <x:v>316</x:v>
      </x:c>
      <x:c r="H41" s="185" t="n">
        <x:v>1016</x:v>
      </x:c>
      <x:c r="I41" s="185" t="n">
        <x:v>490</x:v>
      </x:c>
      <x:c r="J41" s="185" t="n">
        <x:v>1060</x:v>
      </x:c>
      <x:c r="K41" s="185" t="n">
        <x:v>326</x:v>
      </x:c>
      <x:c r="L41" s="185" t="n">
        <x:v>1026</x:v>
      </x:c>
      <x:c r="M41" s="185" t="str">
        <x:v>BATH-BR-HSCAM</x:v>
      </x:c>
      <x:c r="N41" s="185" t="str">
        <x:v>COMPLETE_WITH_EXTERNAL_CHECK</x:v>
      </x:c>
      <x:c r="O41" s="186" t="str">
        <x:v>BATH-EV-007</x:v>
      </x:c>
    </x:row>
    <x:row r="42">
      <x:c r="A42" s="184" t="str">
        <x:v>BATH-SZ-HSCAM-OFFSET_R195</x:v>
      </x:c>
      <x:c r="B42" s="185" t="str">
        <x:v>RPL_BATH_HSCAM</x:v>
      </x:c>
      <x:c r="C42" s="185" t="str">
        <x:v>BATH-STD</x:v>
      </x:c>
      <x:c r="D42" s="185" t="str">
        <x:v>OFFSET_R195</x:v>
      </x:c>
      <x:c r="E42" s="185" t="n">
        <x:v>480</x:v>
      </x:c>
      <x:c r="F42" s="185" t="n">
        <x:v>1050</x:v>
      </x:c>
      <x:c r="G42" s="185" t="n">
        <x:v>316</x:v>
      </x:c>
      <x:c r="H42" s="185" t="n">
        <x:v>1016</x:v>
      </x:c>
      <x:c r="I42" s="185" t="n">
        <x:v>490</x:v>
      </x:c>
      <x:c r="J42" s="185" t="n">
        <x:v>1060</x:v>
      </x:c>
      <x:c r="K42" s="185" t="n">
        <x:v>326</x:v>
      </x:c>
      <x:c r="L42" s="185" t="n">
        <x:v>1026</x:v>
      </x:c>
      <x:c r="M42" s="185" t="str">
        <x:v>BATH-BR-HSCAM</x:v>
      </x:c>
      <x:c r="N42" s="185" t="str">
        <x:v>COMPLETE_WITH_EXTERNAL_CHECK</x:v>
      </x:c>
      <x:c r="O42" s="186" t="str">
        <x:v>BATH-EV-007</x:v>
      </x:c>
    </x:row>
    <x:row r="43">
      <x:c r="A43" s="184" t="str">
        <x:v>BATH-SZ-HSCAM-CUTOUT</x:v>
      </x:c>
      <x:c r="B43" s="185" t="str">
        <x:v>RPL_BATH_HSCAM</x:v>
      </x:c>
      <x:c r="C43" s="185" t="str">
        <x:v>BATH-STD</x:v>
      </x:c>
      <x:c r="D43" s="185" t="str">
        <x:v>CUTOUT</x:v>
      </x:c>
      <x:c r="E43" s="185" t="n">
        <x:v>317</x:v>
      </x:c>
      <x:c r="F43" s="185" t="n">
        <x:v>887</x:v>
      </x:c>
      <x:c r="G43" s="185" t="n">
        <x:v>316</x:v>
      </x:c>
      <x:c r="H43" s="185" t="n">
        <x:v>1016</x:v>
      </x:c>
      <x:c r="I43" s="185" t="n">
        <x:v>327</x:v>
      </x:c>
      <x:c r="J43" s="185" t="n">
        <x:v>897</x:v>
      </x:c>
      <x:c r="K43" s="185" t="n">
        <x:v>326</x:v>
      </x:c>
      <x:c r="L43" s="185" t="n">
        <x:v>1026</x:v>
      </x:c>
      <x:c r="M43" s="185" t="str">
        <x:v>BATH-BR-HSCAM</x:v>
      </x:c>
      <x:c r="N43" s="185" t="str">
        <x:v>COMPLETE_WITH_EXTERNAL_CHECK</x:v>
      </x:c>
      <x:c r="O43" s="186" t="str">
        <x:v>BATH-EV-007</x:v>
      </x:c>
    </x:row>
    <x:row r="44">
      <x:c r="A44" s="184" t="str">
        <x:v>BATH-SZ-HSCAM-WINDOW_ONLY</x:v>
      </x:c>
      <x:c r="B44" s="185" t="str">
        <x:v>RPL_BATH_HSCAM</x:v>
      </x:c>
      <x:c r="C44" s="185" t="str">
        <x:v>BATH-STD</x:v>
      </x:c>
      <x:c r="D44" s="185" t="str">
        <x:v>WINDOW_ONLY</x:v>
      </x:c>
      <x:c r="E44" s="185" t="n">
        <x:v>317</x:v>
      </x:c>
      <x:c r="F44" s="185" t="n">
        <x:v>887</x:v>
      </x:c>
      <x:c r="G44" s="185" t="n">
        <x:v>316</x:v>
      </x:c>
      <x:c r="H44" s="185" t="n">
        <x:v>1016</x:v>
      </x:c>
      <x:c r="I44" s="185" t="n">
        <x:v>327</x:v>
      </x:c>
      <x:c r="J44" s="185" t="n">
        <x:v>897</x:v>
      </x:c>
      <x:c r="K44" s="185" t="n">
        <x:v>326</x:v>
      </x:c>
      <x:c r="L44" s="185" t="n">
        <x:v>1026</x:v>
      </x:c>
      <x:c r="M44" s="185" t="str">
        <x:v>BATH-BR-HSCAM</x:v>
      </x:c>
      <x:c r="N44" s="185" t="str">
        <x:v>COMPLETE_WITH_EXTERNAL_CHECK</x:v>
      </x:c>
      <x:c r="O44" s="186" t="str">
        <x:v>BATH-EV-007</x:v>
      </x:c>
    </x:row>
    <x:row r="45">
      <x:c r="A45" s="184" t="str">
        <x:v>BATH-SZ-DHFS-OFFSET_L95</x:v>
      </x:c>
      <x:c r="B45" s="185" t="str">
        <x:v>RPL_BATH_DHFS</x:v>
      </x:c>
      <x:c r="C45" s="185" t="str">
        <x:v>BATH-STD</x:v>
      </x:c>
      <x:c r="D45" s="185" t="str">
        <x:v>OFFSET_L95</x:v>
      </x:c>
      <x:c r="E45" s="185" t="n">
        <x:v>381</x:v>
      </x:c>
      <x:c r="F45" s="185" t="n">
        <x:v>951</x:v>
      </x:c>
      <x:c r="G45" s="185" t="n">
        <x:v>606</x:v>
      </x:c>
      <x:c r="H45" s="185" t="n">
        <x:v>1601</x:v>
      </x:c>
      <x:c r="I45" s="185" t="n">
        <x:v>391</x:v>
      </x:c>
      <x:c r="J45" s="185" t="n">
        <x:v>961</x:v>
      </x:c>
      <x:c r="K45" s="185" t="n">
        <x:v>616</x:v>
      </x:c>
      <x:c r="L45" s="185" t="n">
        <x:v>1611</x:v>
      </x:c>
      <x:c r="M45" s="185" t="str">
        <x:v>BATH-BR-DHFS</x:v>
      </x:c>
      <x:c r="N45" s="185" t="str">
        <x:v>COMPLETE_WITH_EXTERNAL_CHECK</x:v>
      </x:c>
      <x:c r="O45" s="186" t="str">
        <x:v>BATH-EV-007</x:v>
      </x:c>
    </x:row>
    <x:row r="46">
      <x:c r="A46" s="184" t="str">
        <x:v>BATH-SZ-DHFS-OFFSET_R95</x:v>
      </x:c>
      <x:c r="B46" s="185" t="str">
        <x:v>RPL_BATH_DHFS</x:v>
      </x:c>
      <x:c r="C46" s="185" t="str">
        <x:v>BATH-STD</x:v>
      </x:c>
      <x:c r="D46" s="185" t="str">
        <x:v>OFFSET_R95</x:v>
      </x:c>
      <x:c r="E46" s="185" t="n">
        <x:v>381</x:v>
      </x:c>
      <x:c r="F46" s="185" t="n">
        <x:v>951</x:v>
      </x:c>
      <x:c r="G46" s="185" t="n">
        <x:v>606</x:v>
      </x:c>
      <x:c r="H46" s="185" t="n">
        <x:v>1601</x:v>
      </x:c>
      <x:c r="I46" s="185" t="n">
        <x:v>391</x:v>
      </x:c>
      <x:c r="J46" s="185" t="n">
        <x:v>961</x:v>
      </x:c>
      <x:c r="K46" s="185" t="n">
        <x:v>616</x:v>
      </x:c>
      <x:c r="L46" s="185" t="n">
        <x:v>1611</x:v>
      </x:c>
      <x:c r="M46" s="185" t="str">
        <x:v>BATH-BR-DHFS</x:v>
      </x:c>
      <x:c r="N46" s="185" t="str">
        <x:v>COMPLETE_WITH_EXTERNAL_CHECK</x:v>
      </x:c>
      <x:c r="O46" s="186" t="str">
        <x:v>BATH-EV-007</x:v>
      </x:c>
    </x:row>
    <x:row r="47">
      <x:c r="A47" s="184" t="str">
        <x:v>BATH-SZ-DHFS-CUTOUT</x:v>
      </x:c>
      <x:c r="B47" s="185" t="str">
        <x:v>RPL_BATH_DHFS</x:v>
      </x:c>
      <x:c r="C47" s="185" t="str">
        <x:v>BATH-STD</x:v>
      </x:c>
      <x:c r="D47" s="185" t="str">
        <x:v>CUTOUT</x:v>
      </x:c>
      <x:c r="E47" s="185" t="n">
        <x:v>317</x:v>
      </x:c>
      <x:c r="F47" s="185" t="n">
        <x:v>887</x:v>
      </x:c>
      <x:c r="G47" s="185" t="n">
        <x:v>606</x:v>
      </x:c>
      <x:c r="H47" s="185" t="n">
        <x:v>1601</x:v>
      </x:c>
      <x:c r="I47" s="185" t="n">
        <x:v>327</x:v>
      </x:c>
      <x:c r="J47" s="185" t="n">
        <x:v>897</x:v>
      </x:c>
      <x:c r="K47" s="185" t="n">
        <x:v>616</x:v>
      </x:c>
      <x:c r="L47" s="185" t="n">
        <x:v>1611</x:v>
      </x:c>
      <x:c r="M47" s="185" t="str">
        <x:v>BATH-BR-DHFS</x:v>
      </x:c>
      <x:c r="N47" s="185" t="str">
        <x:v>COMPLETE_WITH_EXTERNAL_CHECK</x:v>
      </x:c>
      <x:c r="O47" s="186" t="str">
        <x:v>BATH-EV-007</x:v>
      </x:c>
    </x:row>
    <x:row r="48">
      <x:c r="A48" s="184" t="str">
        <x:v>BATH-SZ-DHFS-WINDOW_ONLY</x:v>
      </x:c>
      <x:c r="B48" s="185" t="str">
        <x:v>RPL_BATH_DHFS</x:v>
      </x:c>
      <x:c r="C48" s="185" t="str">
        <x:v>BATH-STD</x:v>
      </x:c>
      <x:c r="D48" s="185" t="str">
        <x:v>WINDOW_ONLY</x:v>
      </x:c>
      <x:c r="E48" s="185" t="n">
        <x:v>317</x:v>
      </x:c>
      <x:c r="F48" s="185" t="n">
        <x:v>887</x:v>
      </x:c>
      <x:c r="G48" s="185" t="n">
        <x:v>606</x:v>
      </x:c>
      <x:c r="H48" s="185" t="n">
        <x:v>1601</x:v>
      </x:c>
      <x:c r="I48" s="185" t="n">
        <x:v>327</x:v>
      </x:c>
      <x:c r="J48" s="185" t="n">
        <x:v>897</x:v>
      </x:c>
      <x:c r="K48" s="185" t="n">
        <x:v>616</x:v>
      </x:c>
      <x:c r="L48" s="185" t="n">
        <x:v>1611</x:v>
      </x:c>
      <x:c r="M48" s="185" t="str">
        <x:v>BATH-BR-DHFS</x:v>
      </x:c>
      <x:c r="N48" s="185" t="str">
        <x:v>COMPLETE_WITH_EXTERNAL_CHECK</x:v>
      </x:c>
      <x:c r="O48" s="186" t="str">
        <x:v>BATH-EV-007</x:v>
      </x:c>
    </x:row>
    <x:row r="49">
      <x:c r="A49" s="184" t="str">
        <x:v>BATH-SZ-FIXOUT-FULL95</x:v>
      </x:c>
      <x:c r="B49" s="185" t="str">
        <x:v>RPL_BATH_FIXOUT</x:v>
      </x:c>
      <x:c r="C49" s="185" t="str">
        <x:v>BATH-STD</x:v>
      </x:c>
      <x:c r="D49" s="185" t="str">
        <x:v>FULL95</x:v>
      </x:c>
      <x:c r="E49" s="185" t="n">
        <x:v>344</x:v>
      </x:c>
      <x:c r="F49" s="185" t="n">
        <x:v>2051</x:v>
      </x:c>
      <x:c r="G49" s="185" t="n">
        <x:v>188</x:v>
      </x:c>
      <x:c r="H49" s="185" t="n">
        <x:v>1601</x:v>
      </x:c>
      <x:c r="I49" s="185" t="n">
        <x:v>354</x:v>
      </x:c>
      <x:c r="J49" s="185" t="n">
        <x:v>2061</x:v>
      </x:c>
      <x:c r="K49" s="185" t="n">
        <x:v>198</x:v>
      </x:c>
      <x:c r="L49" s="185" t="n">
        <x:v>1611</x:v>
      </x:c>
      <x:c r="M49" s="185" t="str">
        <x:v>BATH-BR-FIXOUT</x:v>
      </x:c>
      <x:c r="N49" s="185" t="str">
        <x:v>COMPLETE_WITH_EXTERNAL_CHECK</x:v>
      </x:c>
      <x:c r="O49" s="186" t="str">
        <x:v>BATH-EV-008</x:v>
      </x:c>
    </x:row>
    <x:row r="50">
      <x:c r="A50" s="184" t="str">
        <x:v>BATH-SZ-FIXOUT-FULL195</x:v>
      </x:c>
      <x:c r="B50" s="185" t="str">
        <x:v>RPL_BATH_FIXOUT</x:v>
      </x:c>
      <x:c r="C50" s="185" t="str">
        <x:v>BATH-STD</x:v>
      </x:c>
      <x:c r="D50" s="185" t="str">
        <x:v>FULL195</x:v>
      </x:c>
      <x:c r="E50" s="185" t="n">
        <x:v>543</x:v>
      </x:c>
      <x:c r="F50" s="185" t="n">
        <x:v>2250</x:v>
      </x:c>
      <x:c r="G50" s="185" t="n">
        <x:v>188</x:v>
      </x:c>
      <x:c r="H50" s="185" t="n">
        <x:v>1601</x:v>
      </x:c>
      <x:c r="I50" s="185" t="n">
        <x:v>553</x:v>
      </x:c>
      <x:c r="J50" s="185" t="n">
        <x:v>2260</x:v>
      </x:c>
      <x:c r="K50" s="185" t="n">
        <x:v>198</x:v>
      </x:c>
      <x:c r="L50" s="185" t="n">
        <x:v>1611</x:v>
      </x:c>
      <x:c r="M50" s="185" t="str">
        <x:v>BATH-BR-FIXOUT</x:v>
      </x:c>
      <x:c r="N50" s="185" t="str">
        <x:v>COMPLETE_WITH_EXTERNAL_CHECK</x:v>
      </x:c>
      <x:c r="O50" s="186" t="str">
        <x:v>BATH-EV-008</x:v>
      </x:c>
    </x:row>
    <x:row r="51">
      <x:c r="A51" s="184" t="str">
        <x:v>BATH-SZ-FIXOUT-OFFSET_L95</x:v>
      </x:c>
      <x:c r="B51" s="185" t="str">
        <x:v>RPL_BATH_FIXOUT</x:v>
      </x:c>
      <x:c r="C51" s="185" t="str">
        <x:v>BATH-STD</x:v>
      </x:c>
      <x:c r="D51" s="185" t="str">
        <x:v>OFFSET_L95</x:v>
      </x:c>
      <x:c r="E51" s="185" t="n">
        <x:v>281</x:v>
      </x:c>
      <x:c r="F51" s="185" t="n">
        <x:v>1988</x:v>
      </x:c>
      <x:c r="G51" s="185" t="n">
        <x:v>188</x:v>
      </x:c>
      <x:c r="H51" s="185" t="n">
        <x:v>1601</x:v>
      </x:c>
      <x:c r="I51" s="185" t="n">
        <x:v>291</x:v>
      </x:c>
      <x:c r="J51" s="185" t="n">
        <x:v>1998</x:v>
      </x:c>
      <x:c r="K51" s="185" t="n">
        <x:v>198</x:v>
      </x:c>
      <x:c r="L51" s="185" t="n">
        <x:v>1611</x:v>
      </x:c>
      <x:c r="M51" s="185" t="str">
        <x:v>BATH-BR-FIXOUT</x:v>
      </x:c>
      <x:c r="N51" s="185" t="str">
        <x:v>COMPLETE_WITH_EXTERNAL_CHECK</x:v>
      </x:c>
      <x:c r="O51" s="186" t="str">
        <x:v>BATH-EV-008</x:v>
      </x:c>
    </x:row>
    <x:row r="52">
      <x:c r="A52" s="184" t="str">
        <x:v>BATH-SZ-FIXOUT-OFFSET_R95</x:v>
      </x:c>
      <x:c r="B52" s="185" t="str">
        <x:v>RPL_BATH_FIXOUT</x:v>
      </x:c>
      <x:c r="C52" s="185" t="str">
        <x:v>BATH-STD</x:v>
      </x:c>
      <x:c r="D52" s="185" t="str">
        <x:v>OFFSET_R95</x:v>
      </x:c>
      <x:c r="E52" s="185" t="n">
        <x:v>281</x:v>
      </x:c>
      <x:c r="F52" s="185" t="n">
        <x:v>1988</x:v>
      </x:c>
      <x:c r="G52" s="185" t="n">
        <x:v>188</x:v>
      </x:c>
      <x:c r="H52" s="185" t="n">
        <x:v>1601</x:v>
      </x:c>
      <x:c r="I52" s="185" t="n">
        <x:v>291</x:v>
      </x:c>
      <x:c r="J52" s="185" t="n">
        <x:v>1998</x:v>
      </x:c>
      <x:c r="K52" s="185" t="n">
        <x:v>198</x:v>
      </x:c>
      <x:c r="L52" s="185" t="n">
        <x:v>1611</x:v>
      </x:c>
      <x:c r="M52" s="185" t="str">
        <x:v>BATH-BR-FIXOUT</x:v>
      </x:c>
      <x:c r="N52" s="185" t="str">
        <x:v>COMPLETE_WITH_EXTERNAL_CHECK</x:v>
      </x:c>
      <x:c r="O52" s="186" t="str">
        <x:v>BATH-EV-008</x:v>
      </x:c>
    </x:row>
    <x:row r="53">
      <x:c r="A53" s="184" t="str">
        <x:v>BATH-SZ-FIXOUT-OFFSET_L195</x:v>
      </x:c>
      <x:c r="B53" s="185" t="str">
        <x:v>RPL_BATH_FIXOUT</x:v>
      </x:c>
      <x:c r="C53" s="185" t="str">
        <x:v>BATH-STD</x:v>
      </x:c>
      <x:c r="D53" s="185" t="str">
        <x:v>OFFSET_L195</x:v>
      </x:c>
      <x:c r="E53" s="185" t="n">
        <x:v>380</x:v>
      </x:c>
      <x:c r="F53" s="185" t="n">
        <x:v>2087</x:v>
      </x:c>
      <x:c r="G53" s="185" t="n">
        <x:v>188</x:v>
      </x:c>
      <x:c r="H53" s="185" t="n">
        <x:v>1601</x:v>
      </x:c>
      <x:c r="I53" s="185" t="n">
        <x:v>390</x:v>
      </x:c>
      <x:c r="J53" s="185" t="n">
        <x:v>2097</x:v>
      </x:c>
      <x:c r="K53" s="185" t="n">
        <x:v>198</x:v>
      </x:c>
      <x:c r="L53" s="185" t="n">
        <x:v>1611</x:v>
      </x:c>
      <x:c r="M53" s="185" t="str">
        <x:v>BATH-BR-FIXOUT</x:v>
      </x:c>
      <x:c r="N53" s="185" t="str">
        <x:v>COMPLETE_WITH_EXTERNAL_CHECK</x:v>
      </x:c>
      <x:c r="O53" s="186" t="str">
        <x:v>BATH-EV-008</x:v>
      </x:c>
    </x:row>
    <x:row r="54">
      <x:c r="A54" s="184" t="str">
        <x:v>BATH-SZ-FIXOUT-OFFSET_R195</x:v>
      </x:c>
      <x:c r="B54" s="185" t="str">
        <x:v>RPL_BATH_FIXOUT</x:v>
      </x:c>
      <x:c r="C54" s="185" t="str">
        <x:v>BATH-STD</x:v>
      </x:c>
      <x:c r="D54" s="185" t="str">
        <x:v>OFFSET_R195</x:v>
      </x:c>
      <x:c r="E54" s="185" t="n">
        <x:v>380</x:v>
      </x:c>
      <x:c r="F54" s="185" t="n">
        <x:v>2087</x:v>
      </x:c>
      <x:c r="G54" s="185" t="n">
        <x:v>188</x:v>
      </x:c>
      <x:c r="H54" s="185" t="n">
        <x:v>1601</x:v>
      </x:c>
      <x:c r="I54" s="185" t="n">
        <x:v>390</x:v>
      </x:c>
      <x:c r="J54" s="185" t="n">
        <x:v>2097</x:v>
      </x:c>
      <x:c r="K54" s="185" t="n">
        <x:v>198</x:v>
      </x:c>
      <x:c r="L54" s="185" t="n">
        <x:v>1611</x:v>
      </x:c>
      <x:c r="M54" s="185" t="str">
        <x:v>BATH-BR-FIXOUT</x:v>
      </x:c>
      <x:c r="N54" s="185" t="str">
        <x:v>COMPLETE_WITH_EXTERNAL_CHECK</x:v>
      </x:c>
      <x:c r="O54" s="186" t="str">
        <x:v>BATH-EV-008</x:v>
      </x:c>
    </x:row>
    <x:row r="55">
      <x:c r="A55" s="184" t="str">
        <x:v>BATH-SZ-FIXOUT-CUTOUT</x:v>
      </x:c>
      <x:c r="B55" s="185" t="str">
        <x:v>RPL_BATH_FIXOUT</x:v>
      </x:c>
      <x:c r="C55" s="185" t="str">
        <x:v>BATH-STD</x:v>
      </x:c>
      <x:c r="D55" s="185" t="str">
        <x:v>CUTOUT</x:v>
      </x:c>
      <x:c r="E55" s="185" t="n">
        <x:v>217</x:v>
      </x:c>
      <x:c r="F55" s="185" t="n">
        <x:v>1924</x:v>
      </x:c>
      <x:c r="G55" s="185" t="n">
        <x:v>188</x:v>
      </x:c>
      <x:c r="H55" s="185" t="n">
        <x:v>1601</x:v>
      </x:c>
      <x:c r="I55" s="185" t="n">
        <x:v>227</x:v>
      </x:c>
      <x:c r="J55" s="185" t="n">
        <x:v>1934</x:v>
      </x:c>
      <x:c r="K55" s="185" t="n">
        <x:v>198</x:v>
      </x:c>
      <x:c r="L55" s="185" t="n">
        <x:v>1611</x:v>
      </x:c>
      <x:c r="M55" s="185" t="str">
        <x:v>BATH-BR-FIXOUT</x:v>
      </x:c>
      <x:c r="N55" s="185" t="str">
        <x:v>COMPLETE_WITH_EXTERNAL_CHECK</x:v>
      </x:c>
      <x:c r="O55" s="186" t="str">
        <x:v>BATH-EV-008</x:v>
      </x:c>
    </x:row>
    <x:row r="56">
      <x:c r="A56" s="184" t="str">
        <x:v>BATH-SZ-FIXOUT-WINDOW_ONLY</x:v>
      </x:c>
      <x:c r="B56" s="185" t="str">
        <x:v>RPL_BATH_FIXOUT</x:v>
      </x:c>
      <x:c r="C56" s="185" t="str">
        <x:v>BATH-STD</x:v>
      </x:c>
      <x:c r="D56" s="185" t="str">
        <x:v>WINDOW_ONLY</x:v>
      </x:c>
      <x:c r="E56" s="185" t="n">
        <x:v>217</x:v>
      </x:c>
      <x:c r="F56" s="185" t="n">
        <x:v>1924</x:v>
      </x:c>
      <x:c r="G56" s="185" t="n">
        <x:v>188</x:v>
      </x:c>
      <x:c r="H56" s="185" t="n">
        <x:v>1601</x:v>
      </x:c>
      <x:c r="I56" s="185" t="n">
        <x:v>227</x:v>
      </x:c>
      <x:c r="J56" s="185" t="n">
        <x:v>1934</x:v>
      </x:c>
      <x:c r="K56" s="185" t="n">
        <x:v>198</x:v>
      </x:c>
      <x:c r="L56" s="185" t="n">
        <x:v>1611</x:v>
      </x:c>
      <x:c r="M56" s="185" t="str">
        <x:v>BATH-BR-FIXOUT</x:v>
      </x:c>
      <x:c r="N56" s="185" t="str">
        <x:v>COMPLETE_WITH_EXTERNAL_CHECK</x:v>
      </x:c>
      <x:c r="O56" s="186" t="str">
        <x:v>BATH-EV-008</x:v>
      </x:c>
    </x:row>
    <x:row r="57">
      <x:c r="A57" s="184" t="str">
        <x:v>BATH-SZ-FIXIN-FULL95</x:v>
      </x:c>
      <x:c r="B57" s="185" t="str">
        <x:v>RPL_BATH_FIXIN</x:v>
      </x:c>
      <x:c r="C57" s="185" t="str">
        <x:v>BATH-STD</x:v>
      </x:c>
      <x:c r="D57" s="185" t="str">
        <x:v>FULL95</x:v>
      </x:c>
      <x:c r="E57" s="185" t="n">
        <x:v>321</x:v>
      </x:c>
      <x:c r="F57" s="185" t="n">
        <x:v>2051</x:v>
      </x:c>
      <x:c r="G57" s="185" t="n">
        <x:v>240</x:v>
      </x:c>
      <x:c r="H57" s="185" t="n">
        <x:v>1601</x:v>
      </x:c>
      <x:c r="I57" s="185" t="n">
        <x:v>331</x:v>
      </x:c>
      <x:c r="J57" s="185" t="n">
        <x:v>2061</x:v>
      </x:c>
      <x:c r="K57" s="185" t="n">
        <x:v>250</x:v>
      </x:c>
      <x:c r="L57" s="185" t="n">
        <x:v>1611</x:v>
      </x:c>
      <x:c r="M57" s="185" t="str">
        <x:v>BATH-BR-FIXIN</x:v>
      </x:c>
      <x:c r="N57" s="185" t="str">
        <x:v>COMPLETE_WITH_EXTERNAL_CHECK</x:v>
      </x:c>
      <x:c r="O57" s="186" t="str">
        <x:v>BATH-EV-008</x:v>
      </x:c>
    </x:row>
    <x:row r="58">
      <x:c r="A58" s="184" t="str">
        <x:v>BATH-SZ-FIXIN-OFFSET_L95</x:v>
      </x:c>
      <x:c r="B58" s="185" t="str">
        <x:v>RPL_BATH_FIXIN</x:v>
      </x:c>
      <x:c r="C58" s="185" t="str">
        <x:v>BATH-STD</x:v>
      </x:c>
      <x:c r="D58" s="185" t="str">
        <x:v>OFFSET_L95</x:v>
      </x:c>
      <x:c r="E58" s="185" t="n">
        <x:v>258</x:v>
      </x:c>
      <x:c r="F58" s="185" t="n">
        <x:v>1988</x:v>
      </x:c>
      <x:c r="G58" s="185" t="n">
        <x:v>240</x:v>
      </x:c>
      <x:c r="H58" s="185" t="n">
        <x:v>1601</x:v>
      </x:c>
      <x:c r="I58" s="185" t="n">
        <x:v>268</x:v>
      </x:c>
      <x:c r="J58" s="185" t="n">
        <x:v>1998</x:v>
      </x:c>
      <x:c r="K58" s="185" t="n">
        <x:v>250</x:v>
      </x:c>
      <x:c r="L58" s="185" t="n">
        <x:v>1611</x:v>
      </x:c>
      <x:c r="M58" s="185" t="str">
        <x:v>BATH-BR-FIXIN</x:v>
      </x:c>
      <x:c r="N58" s="185" t="str">
        <x:v>COMPLETE_WITH_EXTERNAL_CHECK</x:v>
      </x:c>
      <x:c r="O58" s="186" t="str">
        <x:v>BATH-EV-008</x:v>
      </x:c>
    </x:row>
    <x:row r="59">
      <x:c r="A59" s="184" t="str">
        <x:v>BATH-SZ-FIXIN-OFFSET_R95</x:v>
      </x:c>
      <x:c r="B59" s="185" t="str">
        <x:v>RPL_BATH_FIXIN</x:v>
      </x:c>
      <x:c r="C59" s="185" t="str">
        <x:v>BATH-STD</x:v>
      </x:c>
      <x:c r="D59" s="185" t="str">
        <x:v>OFFSET_R95</x:v>
      </x:c>
      <x:c r="E59" s="185" t="n">
        <x:v>258</x:v>
      </x:c>
      <x:c r="F59" s="185" t="n">
        <x:v>1988</x:v>
      </x:c>
      <x:c r="G59" s="185" t="n">
        <x:v>240</x:v>
      </x:c>
      <x:c r="H59" s="185" t="n">
        <x:v>1601</x:v>
      </x:c>
      <x:c r="I59" s="185" t="n">
        <x:v>268</x:v>
      </x:c>
      <x:c r="J59" s="185" t="n">
        <x:v>1998</x:v>
      </x:c>
      <x:c r="K59" s="185" t="n">
        <x:v>250</x:v>
      </x:c>
      <x:c r="L59" s="185" t="n">
        <x:v>1611</x:v>
      </x:c>
      <x:c r="M59" s="185" t="str">
        <x:v>BATH-BR-FIXIN</x:v>
      </x:c>
      <x:c r="N59" s="185" t="str">
        <x:v>COMPLETE_WITH_EXTERNAL_CHECK</x:v>
      </x:c>
      <x:c r="O59" s="186" t="str">
        <x:v>BATH-EV-008</x:v>
      </x:c>
    </x:row>
    <x:row r="60">
      <x:c r="A60" s="184" t="str">
        <x:v>BATH-SZ-FIXIN-CUTOUT</x:v>
      </x:c>
      <x:c r="B60" s="185" t="str">
        <x:v>RPL_BATH_FIXIN</x:v>
      </x:c>
      <x:c r="C60" s="185" t="str">
        <x:v>BATH-STD</x:v>
      </x:c>
      <x:c r="D60" s="185" t="str">
        <x:v>CUTOUT</x:v>
      </x:c>
      <x:c r="E60" s="185" t="n">
        <x:v>194</x:v>
      </x:c>
      <x:c r="F60" s="185" t="n">
        <x:v>1924</x:v>
      </x:c>
      <x:c r="G60" s="185" t="n">
        <x:v>240</x:v>
      </x:c>
      <x:c r="H60" s="185" t="n">
        <x:v>1601</x:v>
      </x:c>
      <x:c r="I60" s="185" t="n">
        <x:v>204</x:v>
      </x:c>
      <x:c r="J60" s="185" t="n">
        <x:v>1934</x:v>
      </x:c>
      <x:c r="K60" s="185" t="n">
        <x:v>250</x:v>
      </x:c>
      <x:c r="L60" s="185" t="n">
        <x:v>1611</x:v>
      </x:c>
      <x:c r="M60" s="185" t="str">
        <x:v>BATH-BR-FIXIN</x:v>
      </x:c>
      <x:c r="N60" s="185" t="str">
        <x:v>COMPLETE_WITH_EXTERNAL_CHECK</x:v>
      </x:c>
      <x:c r="O60" s="186" t="str">
        <x:v>BATH-EV-008</x:v>
      </x:c>
    </x:row>
    <x:row r="61">
      <x:c r="A61" s="187" t="str">
        <x:v>BATH-SZ-FIXIN-WINDOW_ONLY</x:v>
      </x:c>
      <x:c r="B61" s="188" t="str">
        <x:v>RPL_BATH_FIXIN</x:v>
      </x:c>
      <x:c r="C61" s="188" t="str">
        <x:v>BATH-STD</x:v>
      </x:c>
      <x:c r="D61" s="188" t="str">
        <x:v>WINDOW_ONLY</x:v>
      </x:c>
      <x:c r="E61" s="188" t="n">
        <x:v>194</x:v>
      </x:c>
      <x:c r="F61" s="188" t="n">
        <x:v>1924</x:v>
      </x:c>
      <x:c r="G61" s="188" t="n">
        <x:v>240</x:v>
      </x:c>
      <x:c r="H61" s="188" t="n">
        <x:v>1601</x:v>
      </x:c>
      <x:c r="I61" s="188" t="n">
        <x:v>204</x:v>
      </x:c>
      <x:c r="J61" s="188" t="n">
        <x:v>1934</x:v>
      </x:c>
      <x:c r="K61" s="188" t="n">
        <x:v>250</x:v>
      </x:c>
      <x:c r="L61" s="188" t="n">
        <x:v>1611</x:v>
      </x:c>
      <x:c r="M61" s="188" t="str">
        <x:v>BATH-BR-FIXIN</x:v>
      </x:c>
      <x:c r="N61" s="188" t="str">
        <x:v>COMPLETE_WITH_EXTERNAL_CHECK</x:v>
      </x:c>
      <x:c r="O61" s="189" t="str">
        <x:v>BATH-EV-008</x:v>
      </x:c>
    </x:row>
  </x:sheetData>
  <x:mergeCells>
    <x:mergeCell ref="A1:R1"/>
    <x:mergeCell ref="A2:R2"/>
    <x:mergeCell ref="A1:O1"/>
    <x:mergeCell ref="A2:O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18" hidden="0" customWidth="1"/>
    <x:col min="5" max="5" width="30" hidden="0" customWidth="1"/>
    <x:col min="6" max="6" width="34" hidden="0" customWidth="1"/>
    <x:col min="7" max="7" width="18" hidden="0" customWidth="1"/>
    <x:col min="8" max="8" width="44" hidden="0" customWidth="1"/>
    <x:col min="9" max="9" width="30" hidden="0" customWidth="1"/>
    <x:col min="10" max="10" width="22" hidden="0" customWidth="1"/>
  </x:cols>
  <x:sheetData>
    <x:row r="1" ht="28" customHeight="1">
      <x:c r="A1" s="178" t="str">
        <x:v>05A_サイズ区間｜浴室仕様</x:v>
      </x:c>
      <x:c r="B1" s="178"/>
      <x:c r="C1" s="178"/>
      <x:c r="D1" s="178"/>
      <x:c r="E1" s="178"/>
      <x:c r="F1" s="178"/>
      <x:c r="G1" s="178"/>
      <x:c r="H1" s="178"/>
      <x:c r="I1" s="178"/>
      <x:c r="J1" s="178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81" t="str">
        <x:v>segment_id</x:v>
      </x:c>
      <x:c r="B3" s="182" t="str">
        <x:v>window_type_id</x:v>
      </x:c>
      <x:c r="C3" s="182" t="str">
        <x:v>frame_type_id</x:v>
      </x:c>
      <x:c r="D3" s="182" t="str">
        <x:v>point_scope</x:v>
      </x:c>
      <x:c r="E3" s="182" t="str">
        <x:v>w_condition</x:v>
      </x:c>
      <x:c r="F3" s="182" t="str">
        <x:v>h_condition</x:v>
      </x:c>
      <x:c r="G3" s="182" t="str">
        <x:v>effect</x:v>
      </x:c>
      <x:c r="H3" s="182" t="str">
        <x:v>説明</x:v>
      </x:c>
      <x:c r="I3" s="182" t="str">
        <x:v>status</x:v>
      </x:c>
      <x:c r="J3" s="183" t="str">
        <x:v>evidence</x:v>
      </x:c>
    </x:row>
    <x:row r="4" ht="30" customHeight="1">
      <x:c r="A4" s="196" t="str">
        <x:v>BATH-SEG-SLD-STD</x:v>
      </x:c>
      <x:c r="B4" s="198" t="str">
        <x:v>RPL_BATH_SLD</x:v>
      </x:c>
      <x:c r="C4" s="198" t="str">
        <x:v>BATH-STD</x:v>
      </x:c>
      <x:c r="D4" s="198" t="str">
        <x:v>WD&lt;=C</x:v>
      </x:c>
      <x:c r="E4" s="198" t="str">
        <x:v>開口別A&lt;=WD&lt;=B</x:v>
      </x:c>
      <x:c r="F4" s="198" t="str">
        <x:v>HD&lt;=1.7*(WD-17)-13</x:v>
      </x:c>
      <x:c r="G4" s="198" t="str">
        <x:v>ALLOW_IF</x:v>
      </x:c>
      <x:c r="H4" s="198" t="str">
        <x:v>斜線上限</x:v>
      </x:c>
      <x:c r="I4" s="198" t="str">
        <x:v>COMPLETE</x:v>
      </x:c>
      <x:c r="J4" s="197" t="str">
        <x:v>BATH-EV-006</x:v>
      </x:c>
    </x:row>
    <x:row r="5">
      <x:c r="A5" s="184" t="str">
        <x:v>BATH-SEG-SLD-BRG</x:v>
      </x:c>
      <x:c r="B5" s="185" t="str">
        <x:v>RPL_BATH_SLD</x:v>
      </x:c>
      <x:c r="C5" s="185" t="str">
        <x:v>BATH-BRG</x:v>
      </x:c>
      <x:c r="D5" s="185" t="str">
        <x:v>WD&lt;=C</x:v>
      </x:c>
      <x:c r="E5" s="185" t="str">
        <x:v>開口別A/D条件</x:v>
      </x:c>
      <x:c r="F5" s="185" t="str">
        <x:v>HD&lt;=1.7*(WD-17)-8</x:v>
      </x:c>
      <x:c r="G5" s="185" t="str">
        <x:v>ALLOW_IF</x:v>
      </x:c>
      <x:c r="H5" s="185" t="str">
        <x:v>斜線上限</x:v>
      </x:c>
      <x:c r="I5" s="185" t="str">
        <x:v>COMPLETE_WITH_EXTERNAL_CHECK</x:v>
      </x:c>
      <x:c r="J5" s="186" t="str">
        <x:v>BATH-EV-006</x:v>
      </x:c>
    </x:row>
    <x:row r="6">
      <x:c r="A6" s="184" t="str">
        <x:v>BATH-SEG-HSOP-LOW</x:v>
      </x:c>
      <x:c r="B6" s="185" t="str">
        <x:v>RPL_BATH_HSOP</x:v>
      </x:c>
      <x:c r="C6" s="185" t="str">
        <x:v>BATH-STD</x:v>
      </x:c>
      <x:c r="D6" s="185" t="str">
        <x:v>A-B</x:v>
      </x:c>
      <x:c r="E6" s="185" t="str">
        <x:v>A&lt;=WD&lt;=B</x:v>
      </x:c>
      <x:c r="F6" s="185" t="str">
        <x:v>316&lt;=HD&lt;=356</x:v>
      </x:c>
      <x:c r="G6" s="185" t="str">
        <x:v>ALLOW_IF</x:v>
      </x:c>
      <x:c r="H6" s="185" t="str">
        <x:v>低H領域</x:v>
      </x:c>
      <x:c r="I6" s="185" t="str">
        <x:v>COMPLETE</x:v>
      </x:c>
      <x:c r="J6" s="186" t="str">
        <x:v>BATH-EV-007</x:v>
      </x:c>
    </x:row>
    <x:row r="7">
      <x:c r="A7" s="184" t="str">
        <x:v>BATH-SEG-HSOP-MAIN</x:v>
      </x:c>
      <x:c r="B7" s="185" t="str">
        <x:v>RPL_BATH_HSOP</x:v>
      </x:c>
      <x:c r="C7" s="185" t="str">
        <x:v>BATH-STD</x:v>
      </x:c>
      <x:c r="D7" s="185" t="str">
        <x:v>B-D</x:v>
      </x:c>
      <x:c r="E7" s="185" t="str">
        <x:v>B&lt;=WD&lt;=D</x:v>
      </x:c>
      <x:c r="F7" s="185" t="str">
        <x:v>356&lt;=HD&lt;=1251</x:v>
      </x:c>
      <x:c r="G7" s="185" t="str">
        <x:v>ALLOW_IF</x:v>
      </x:c>
      <x:c r="H7" s="185" t="str">
        <x:v>主領域</x:v>
      </x:c>
      <x:c r="I7" s="185" t="str">
        <x:v>COMPLETE</x:v>
      </x:c>
      <x:c r="J7" s="186" t="str">
        <x:v>BATH-EV-007</x:v>
      </x:c>
    </x:row>
    <x:row r="8">
      <x:c r="A8" s="184" t="str">
        <x:v>BATH-SEG-HSCAM-LOW</x:v>
      </x:c>
      <x:c r="B8" s="185" t="str">
        <x:v>RPL_BATH_HSCAM</x:v>
      </x:c>
      <x:c r="C8" s="185" t="str">
        <x:v>BATH-STD</x:v>
      </x:c>
      <x:c r="D8" s="185" t="str">
        <x:v>A-B</x:v>
      </x:c>
      <x:c r="E8" s="185" t="str">
        <x:v>A&lt;=WD&lt;=B</x:v>
      </x:c>
      <x:c r="F8" s="185" t="str">
        <x:v>316&lt;=HD&lt;=367</x:v>
      </x:c>
      <x:c r="G8" s="185" t="str">
        <x:v>ALLOW_IF</x:v>
      </x:c>
      <x:c r="H8" s="185" t="str">
        <x:v>低H領域</x:v>
      </x:c>
      <x:c r="I8" s="185" t="str">
        <x:v>COMPLETE</x:v>
      </x:c>
      <x:c r="J8" s="186" t="str">
        <x:v>BATH-EV-007</x:v>
      </x:c>
    </x:row>
    <x:row r="9">
      <x:c r="A9" s="184" t="str">
        <x:v>BATH-SEG-HSCAM-MAIN</x:v>
      </x:c>
      <x:c r="B9" s="185" t="str">
        <x:v>RPL_BATH_HSCAM</x:v>
      </x:c>
      <x:c r="C9" s="185" t="str">
        <x:v>BATH-STD</x:v>
      </x:c>
      <x:c r="D9" s="185" t="str">
        <x:v>B-C</x:v>
      </x:c>
      <x:c r="E9" s="185" t="str">
        <x:v>B&lt;=WD&lt;=C</x:v>
      </x:c>
      <x:c r="F9" s="185" t="str">
        <x:v>356&lt;=HD&lt;=1016</x:v>
      </x:c>
      <x:c r="G9" s="185" t="str">
        <x:v>ALLOW_IF</x:v>
      </x:c>
      <x:c r="H9" s="185" t="str">
        <x:v>主領域</x:v>
      </x:c>
      <x:c r="I9" s="185" t="str">
        <x:v>COMPLETE_WITH_EXTERNAL_CHECK</x:v>
      </x:c>
      <x:c r="J9" s="186" t="str">
        <x:v>BATH-EV-007</x:v>
      </x:c>
    </x:row>
    <x:row r="10">
      <x:c r="A10" s="184" t="str">
        <x:v>BATH-SEG-DHFS-LOW</x:v>
      </x:c>
      <x:c r="B10" s="185" t="str">
        <x:v>RPL_BATH_DHFS</x:v>
      </x:c>
      <x:c r="C10" s="185" t="str">
        <x:v>BATH-STD</x:v>
      </x:c>
      <x:c r="D10" s="185" t="str">
        <x:v>A-B</x:v>
      </x:c>
      <x:c r="E10" s="185" t="str">
        <x:v>A&lt;=WD&lt;=B</x:v>
      </x:c>
      <x:c r="F10" s="185" t="str">
        <x:v>606&lt;=HD&lt;=666</x:v>
      </x:c>
      <x:c r="G10" s="185" t="str">
        <x:v>ALLOW_IF</x:v>
      </x:c>
      <x:c r="H10" s="185" t="str">
        <x:v>低W領域</x:v>
      </x:c>
      <x:c r="I10" s="185" t="str">
        <x:v>COMPLETE</x:v>
      </x:c>
      <x:c r="J10" s="186" t="str">
        <x:v>BATH-EV-007</x:v>
      </x:c>
    </x:row>
    <x:row r="11">
      <x:c r="A11" s="187" t="str">
        <x:v>BATH-SEG-DHFS-MAIN</x:v>
      </x:c>
      <x:c r="B11" s="188" t="str">
        <x:v>RPL_BATH_DHFS</x:v>
      </x:c>
      <x:c r="C11" s="188" t="str">
        <x:v>BATH-STD</x:v>
      </x:c>
      <x:c r="D11" s="188" t="str">
        <x:v>B-C</x:v>
      </x:c>
      <x:c r="E11" s="188" t="str">
        <x:v>B&lt;=WD&lt;=C</x:v>
      </x:c>
      <x:c r="F11" s="188" t="str">
        <x:v>606&lt;=HD&lt;=1601</x:v>
      </x:c>
      <x:c r="G11" s="188" t="str">
        <x:v>ALLOW_IF</x:v>
      </x:c>
      <x:c r="H11" s="188" t="str">
        <x:v>主領域</x:v>
      </x:c>
      <x:c r="I11" s="188" t="str">
        <x:v>COMPLETE</x:v>
      </x:c>
      <x:c r="J11" s="189" t="str">
        <x:v>BATH-EV-007</x:v>
      </x:c>
    </x:row>
    <x:row r="12">
      <x:c r="A12" s="35"/>
      <x:c r="B12" s="36"/>
      <x:c r="C12" s="36"/>
      <x:c r="D12" s="36"/>
      <x:c r="E12" s="36"/>
      <x:c r="F12" s="36"/>
      <x:c r="G12" s="36"/>
      <x:c r="H12" s="36"/>
      <x:c r="I12" s="36"/>
      <x:c r="J12" s="37"/>
    </x:row>
    <x:row r="13">
      <x:c r="A13" s="35"/>
      <x:c r="B13" s="36"/>
      <x:c r="C13" s="36"/>
      <x:c r="D13" s="36"/>
      <x:c r="E13" s="36"/>
      <x:c r="F13" s="36"/>
      <x:c r="G13" s="36"/>
      <x:c r="H13" s="36"/>
      <x:c r="I13" s="36"/>
      <x:c r="J13" s="37"/>
    </x:row>
    <x:row r="14">
      <x:c r="A14" s="35"/>
      <x:c r="B14" s="36"/>
      <x:c r="C14" s="36"/>
      <x:c r="D14" s="36"/>
      <x:c r="E14" s="36"/>
      <x:c r="F14" s="36"/>
      <x:c r="G14" s="36"/>
      <x:c r="H14" s="36"/>
      <x:c r="I14" s="36"/>
      <x:c r="J14" s="37"/>
    </x:row>
    <x:row r="15">
      <x:c r="A15" s="35"/>
      <x:c r="B15" s="36"/>
      <x:c r="C15" s="36"/>
      <x:c r="D15" s="36"/>
      <x:c r="E15" s="36"/>
      <x:c r="F15" s="36"/>
      <x:c r="G15" s="36"/>
      <x:c r="H15" s="36"/>
      <x:c r="I15" s="36"/>
      <x:c r="J15" s="37"/>
    </x:row>
    <x:row r="16">
      <x:c r="A16" s="38"/>
      <x:c r="B16" s="39"/>
      <x:c r="C16" s="39"/>
      <x:c r="D16" s="39"/>
      <x:c r="E16" s="39"/>
      <x:c r="F16" s="39"/>
      <x:c r="G16" s="39"/>
      <x:c r="H16" s="39"/>
      <x:c r="I16" s="39"/>
      <x:c r="J16" s="40"/>
    </x:row>
  </x:sheetData>
  <x:mergeCells>
    <x:mergeCell ref="A1:J1"/>
    <x:mergeCell ref="A2:J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8" hidden="0" customWidth="1"/>
    <x:col min="4" max="4" width="48" hidden="0" customWidth="1"/>
    <x:col min="5" max="5" width="42" hidden="0" customWidth="1"/>
    <x:col min="6" max="6" width="28" hidden="0" customWidth="1"/>
    <x:col min="7" max="7" width="30" hidden="0" customWidth="1"/>
    <x:col min="8" max="8" width="22" hidden="0" customWidth="1"/>
  </x:cols>
  <x:sheetData>
    <x:row r="1" ht="28" customHeight="1">
      <x:c r="A1" s="178" t="str">
        <x:v>05B_境界ルール｜浴室仕様</x:v>
      </x:c>
      <x:c r="B1" s="178"/>
      <x:c r="C1" s="178"/>
      <x:c r="D1" s="178"/>
      <x:c r="E1" s="178"/>
      <x:c r="F1" s="178"/>
      <x:c r="G1" s="178"/>
      <x:c r="H1" s="178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</x:row>
    <x:row r="3">
      <x:c r="A3" s="181" t="str">
        <x:v>boundary_rule_id</x:v>
      </x:c>
      <x:c r="B3" s="182" t="str">
        <x:v>scope</x:v>
      </x:c>
      <x:c r="C3" s="182" t="str">
        <x:v>boundary_type</x:v>
      </x:c>
      <x:c r="D3" s="182" t="str">
        <x:v>official_rule</x:v>
      </x:c>
      <x:c r="E3" s="182" t="str">
        <x:v>condition</x:v>
      </x:c>
      <x:c r="F3" s="182" t="str">
        <x:v>auto_mode</x:v>
      </x:c>
      <x:c r="G3" s="182" t="str">
        <x:v>status</x:v>
      </x:c>
      <x:c r="H3" s="183" t="str">
        <x:v>evidence</x:v>
      </x:c>
    </x:row>
    <x:row r="4" ht="30" customHeight="1">
      <x:c r="A4" s="196" t="str">
        <x:v>BATH-BR-SLD-STD</x:v>
      </x:c>
      <x:c r="B4" s="198" t="str">
        <x:v>RPL_BATH_SLD</x:v>
      </x:c>
      <x:c r="C4" s="198" t="str">
        <x:v>FORMULA</x:v>
      </x:c>
      <x:c r="D4" s="198" t="str">
        <x:v>(HD+13)/(WD-17)=1.7</x:v>
      </x:c>
      <x:c r="E4" s="198" t="str">
        <x:v>標準枠</x:v>
      </x:c>
      <x:c r="F4" s="198" t="str">
        <x:v>AUTO</x:v>
      </x:c>
      <x:c r="G4" s="198" t="str">
        <x:v>COMPLETE</x:v>
      </x:c>
      <x:c r="H4" s="197" t="str">
        <x:v>BATH-EV-006</x:v>
      </x:c>
    </x:row>
    <x:row r="5">
      <x:c r="A5" s="184" t="str">
        <x:v>BATH-BR-SLD-BRG</x:v>
      </x:c>
      <x:c r="B5" s="185" t="str">
        <x:v>RPL_BATH_SLD</x:v>
      </x:c>
      <x:c r="C5" s="185" t="str">
        <x:v>FORMULA+POINTS</x:v>
      </x:c>
      <x:c r="D5" s="185" t="str">
        <x:v>(HD+8)/(WD-17)=1.7</x:v>
      </x:c>
      <x:c r="E5" s="185" t="str">
        <x:v>ブリッジ枠</x:v>
      </x:c>
      <x:c r="F5" s="185" t="str">
        <x:v>AUTO+GRAPH</x:v>
      </x:c>
      <x:c r="G5" s="185" t="str">
        <x:v>COMPLETE_WITH_EXTERNAL_CHECK</x:v>
      </x:c>
      <x:c r="H5" s="186" t="str">
        <x:v>BATH-EV-006</x:v>
      </x:c>
    </x:row>
    <x:row r="6">
      <x:c r="A6" s="184" t="str">
        <x:v>BATH-BR-VSOP</x:v>
      </x:c>
      <x:c r="B6" s="185" t="str">
        <x:v>RPL_BATH_VSOP</x:v>
      </x:c>
      <x:c r="C6" s="185" t="str">
        <x:v>RECTANGLE</x:v>
      </x:c>
      <x:c r="D6" s="185" t="str">
        <x:v>開口別W × H376-1601</x:v>
      </x:c>
      <x:c r="E6" s="185" t="str">
        <x:v>—</x:v>
      </x:c>
      <x:c r="F6" s="185" t="str">
        <x:v>AUTO</x:v>
      </x:c>
      <x:c r="G6" s="185" t="str">
        <x:v>COMPLETE</x:v>
      </x:c>
      <x:c r="H6" s="186" t="str">
        <x:v>BATH-EV-007</x:v>
      </x:c>
    </x:row>
    <x:row r="7">
      <x:c r="A7" s="184" t="str">
        <x:v>BATH-BR-VSCAM</x:v>
      </x:c>
      <x:c r="B7" s="185" t="str">
        <x:v>RPL_BATH_VSCAM</x:v>
      </x:c>
      <x:c r="C7" s="185" t="str">
        <x:v>RECTANGLE+INNERFIT</x:v>
      </x:c>
      <x:c r="D7" s="185" t="str">
        <x:v>開口別W × H346-1601</x:v>
      </x:c>
      <x:c r="E7" s="185" t="str">
        <x:v>—</x:v>
      </x:c>
      <x:c r="F7" s="185" t="str">
        <x:v>AUTO+EXTERNAL</x:v>
      </x:c>
      <x:c r="G7" s="185" t="str">
        <x:v>COMPLETE_WITH_EXTERNAL_CHECK</x:v>
      </x:c>
      <x:c r="H7" s="186" t="str">
        <x:v>BATH-EV-007</x:v>
      </x:c>
    </x:row>
    <x:row r="8">
      <x:c r="A8" s="184" t="str">
        <x:v>BATH-BR-HSOP</x:v>
      </x:c>
      <x:c r="B8" s="185" t="str">
        <x:v>RPL_BATH_HSOP</x:v>
      </x:c>
      <x:c r="C8" s="185" t="str">
        <x:v>STEP+INNERFIT</x:v>
      </x:c>
      <x:c r="D8" s="185" t="str">
        <x:v>A/B/C/D</x:v>
      </x:c>
      <x:c r="E8" s="185" t="str">
        <x:v>—</x:v>
      </x:c>
      <x:c r="F8" s="185" t="str">
        <x:v>AUTO+EXTERNAL</x:v>
      </x:c>
      <x:c r="G8" s="185" t="str">
        <x:v>COMPLETE_WITH_EXTERNAL_CHECK</x:v>
      </x:c>
      <x:c r="H8" s="186" t="str">
        <x:v>BATH-EV-007</x:v>
      </x:c>
    </x:row>
    <x:row r="9">
      <x:c r="A9" s="184" t="str">
        <x:v>BATH-BR-HSCAM</x:v>
      </x:c>
      <x:c r="B9" s="185" t="str">
        <x:v>RPL_BATH_HSCAM</x:v>
      </x:c>
      <x:c r="C9" s="185" t="str">
        <x:v>STEP+INNERFIT</x:v>
      </x:c>
      <x:c r="D9" s="185" t="str">
        <x:v>A/B/C</x:v>
      </x:c>
      <x:c r="E9" s="185" t="str">
        <x:v>—</x:v>
      </x:c>
      <x:c r="F9" s="185" t="str">
        <x:v>AUTO+EXTERNAL</x:v>
      </x:c>
      <x:c r="G9" s="185" t="str">
        <x:v>COMPLETE_WITH_EXTERNAL_CHECK</x:v>
      </x:c>
      <x:c r="H9" s="186" t="str">
        <x:v>BATH-EV-007</x:v>
      </x:c>
    </x:row>
    <x:row r="10">
      <x:c r="A10" s="184" t="str">
        <x:v>BATH-BR-DHFS</x:v>
      </x:c>
      <x:c r="B10" s="185" t="str">
        <x:v>RPL_BATH_DHFS</x:v>
      </x:c>
      <x:c r="C10" s="185" t="str">
        <x:v>STEP+LOAD</x:v>
      </x:c>
      <x:c r="D10" s="185" t="str">
        <x:v>A/B/C</x:v>
      </x:c>
      <x:c r="E10" s="185" t="str">
        <x:v>障子重量1.4～13kg</x:v>
      </x:c>
      <x:c r="F10" s="185" t="str">
        <x:v>AUTO+GLASS_CHECK</x:v>
      </x:c>
      <x:c r="G10" s="185" t="str">
        <x:v>COMPLETE_WITH_EXTERNAL_CHECK</x:v>
      </x:c>
      <x:c r="H10" s="186" t="str">
        <x:v>BATH-EV-007</x:v>
      </x:c>
    </x:row>
    <x:row r="11">
      <x:c r="A11" s="184" t="str">
        <x:v>BATH-BR-FIXOUT</x:v>
      </x:c>
      <x:c r="B11" s="185" t="str">
        <x:v>RPL_BATH_FIXOUT</x:v>
      </x:c>
      <x:c r="C11" s="185" t="str">
        <x:v>RECTANGLE+PANEL/INNERFIT</x:v>
      </x:c>
      <x:c r="D11" s="185" t="str">
        <x:v>開口別W × H188-1601</x:v>
      </x:c>
      <x:c r="E11" s="185" t="str">
        <x:v>断熱パネル域</x:v>
      </x:c>
      <x:c r="F11" s="185" t="str">
        <x:v>EXTERNAL_CHECK</x:v>
      </x:c>
      <x:c r="G11" s="185" t="str">
        <x:v>COMPLETE_WITH_EXTERNAL_CHECK</x:v>
      </x:c>
      <x:c r="H11" s="186" t="str">
        <x:v>BATH-EV-008</x:v>
      </x:c>
    </x:row>
    <x:row r="12">
      <x:c r="A12" s="184" t="str">
        <x:v>BATH-BR-FIXIN</x:v>
      </x:c>
      <x:c r="B12" s="185" t="str">
        <x:v>RPL_BATH_FIXIN</x:v>
      </x:c>
      <x:c r="C12" s="185" t="str">
        <x:v>RECTANGLE+INNERFIT</x:v>
      </x:c>
      <x:c r="D12" s="185" t="str">
        <x:v>開口別W × H240-1601</x:v>
      </x:c>
      <x:c r="E12" s="185" t="str">
        <x:v>—</x:v>
      </x:c>
      <x:c r="F12" s="185" t="str">
        <x:v>EXTERNAL_CHECK</x:v>
      </x:c>
      <x:c r="G12" s="185" t="str">
        <x:v>COMPLETE_WITH_EXTERNAL_CHECK</x:v>
      </x:c>
      <x:c r="H12" s="186" t="str">
        <x:v>BATH-EV-008</x:v>
      </x:c>
    </x:row>
    <x:row r="13">
      <x:c r="A13" s="184" t="str">
        <x:v>BATH-BR-GLASS</x:v>
      </x:c>
      <x:c r="B13" s="185" t="str">
        <x:v>ALL</x:v>
      </x:c>
      <x:c r="C13" s="185" t="str">
        <x:v>GLASS_AREA/LOAD</x:v>
      </x:c>
      <x:c r="D13" s="185" t="str">
        <x:v>公式ガラス面積・戸車耐荷重表</x:v>
      </x:c>
      <x:c r="E13" s="185" t="str">
        <x:v>ガラス依存</x:v>
      </x:c>
      <x:c r="F13" s="185" t="str">
        <x:v>EXTERNAL_CHECK</x:v>
      </x:c>
      <x:c r="G13" s="185" t="str">
        <x:v>COMPLETE_WITH_EXTERNAL_CHECK</x:v>
      </x:c>
      <x:c r="H13" s="186" t="str">
        <x:v>BATH-EV-010,012</x:v>
      </x:c>
    </x:row>
    <x:row r="14">
      <x:c r="A14" s="187" t="str">
        <x:v>BATH-BR-WIND</x:v>
      </x:c>
      <x:c r="B14" s="188" t="str">
        <x:v>ALL</x:v>
      </x:c>
      <x:c r="C14" s="188" t="str">
        <x:v>WIND_PRESSURE</x:v>
      </x:c>
      <x:c r="D14" s="188" t="str">
        <x:v>公式耐風圧範囲</x:v>
      </x:c>
      <x:c r="E14" s="188" t="str">
        <x:v>耐風圧依存</x:v>
      </x:c>
      <x:c r="F14" s="188" t="str">
        <x:v>EXTERNAL_CHECK</x:v>
      </x:c>
      <x:c r="G14" s="188" t="str">
        <x:v>COMPLETE_WITH_EXTERNAL_CHECK</x:v>
      </x:c>
      <x:c r="H14" s="189" t="str">
        <x:v>BATH-EV-001,007,008</x:v>
      </x:c>
    </x:row>
    <x:row r="15">
      <x:c r="A15" s="35"/>
      <x:c r="B15" s="36"/>
      <x:c r="C15" s="36"/>
      <x:c r="D15" s="36"/>
      <x:c r="E15" s="36"/>
      <x:c r="F15" s="36"/>
      <x:c r="G15" s="36"/>
      <x:c r="H15" s="37"/>
    </x:row>
    <x:row r="16">
      <x:c r="A16" s="38"/>
      <x:c r="B16" s="39"/>
      <x:c r="C16" s="39"/>
      <x:c r="D16" s="39"/>
      <x:c r="E16" s="39"/>
      <x:c r="F16" s="39"/>
      <x:c r="G16" s="39"/>
      <x:c r="H16" s="40"/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2" hidden="0" customWidth="1"/>
    <x:col min="4" max="4" width="32" hidden="0" customWidth="1"/>
    <x:col min="5" max="5" width="18" hidden="0" customWidth="1"/>
    <x:col min="6" max="6" width="30" hidden="0" customWidth="1"/>
    <x:col min="7" max="7" width="18" hidden="0" customWidth="1"/>
    <x:col min="8" max="8" width="22" hidden="0" customWidth="1"/>
  </x:cols>
  <x:sheetData>
    <x:row r="1" ht="28" customHeight="1">
      <x:c r="A1" s="178" t="str">
        <x:v>06_色｜浴室仕様</x:v>
      </x:c>
      <x:c r="B1" s="178"/>
      <x:c r="C1" s="178"/>
      <x:c r="D1" s="178"/>
      <x:c r="E1" s="178"/>
      <x:c r="F1" s="178"/>
      <x:c r="G1" s="178"/>
      <x:c r="H1" s="178"/>
    </x:row>
    <x:row r="3" ht="30" customHeight="1">
      <x:c r="A3" s="181" t="str">
        <x:v>color_id</x:v>
      </x:c>
      <x:c r="B3" s="182" t="str">
        <x:v>color_role</x:v>
      </x:c>
      <x:c r="C3" s="182" t="str">
        <x:v>code</x:v>
      </x:c>
      <x:c r="D3" s="182" t="str">
        <x:v>正式名称</x:v>
      </x:c>
      <x:c r="E3" s="182" t="str">
        <x:v>color_mode</x:v>
      </x:c>
      <x:c r="F3" s="182" t="str">
        <x:v>対象部位</x:v>
      </x:c>
      <x:c r="G3" s="182" t="str">
        <x:v>status</x:v>
      </x:c>
      <x:c r="H3" s="183" t="str">
        <x:v>evidence</x:v>
      </x:c>
    </x:row>
    <x:row r="4">
      <x:c r="A4" s="184" t="str">
        <x:v>BATH-COL-EXT-T</x:v>
      </x:c>
      <x:c r="B4" s="185" t="str">
        <x:v>sash_exterior_color</x:v>
      </x:c>
      <x:c r="C4" s="185" t="str">
        <x:v>T</x:v>
      </x:c>
      <x:c r="D4" s="185" t="str">
        <x:v>ブラック</x:v>
      </x:c>
      <x:c r="E4" s="185" t="str">
        <x:v>FREE</x:v>
      </x:c>
      <x:c r="F4" s="185" t="str">
        <x:v>サッシ外観</x:v>
      </x:c>
      <x:c r="G4" s="185" t="str">
        <x:v>COMPLETE</x:v>
      </x:c>
      <x:c r="H4" s="186" t="str">
        <x:v>BATH-EV-003,004</x:v>
      </x:c>
    </x:row>
    <x:row r="5">
      <x:c r="A5" s="184" t="str">
        <x:v>BATH-COL-COV-T</x:v>
      </x:c>
      <x:c r="B5" s="185" t="str">
        <x:v>exterior_cover_color</x:v>
      </x:c>
      <x:c r="C5" s="185" t="str">
        <x:v>T</x:v>
      </x:c>
      <x:c r="D5" s="185" t="str">
        <x:v>ブラック</x:v>
      </x:c>
      <x:c r="E5" s="185" t="str">
        <x:v>FREE</x:v>
      </x:c>
      <x:c r="F5" s="185" t="str">
        <x:v>化粧カバー</x:v>
      </x:c>
      <x:c r="G5" s="185" t="str">
        <x:v>COMPLETE</x:v>
      </x:c>
      <x:c r="H5" s="186" t="str">
        <x:v>BATH-EV-003,004</x:v>
      </x:c>
    </x:row>
    <x:row r="6">
      <x:c r="A6" s="184" t="str">
        <x:v>BATH-COL-EXT-G</x:v>
      </x:c>
      <x:c r="B6" s="185" t="str">
        <x:v>sash_exterior_color</x:v>
      </x:c>
      <x:c r="C6" s="185" t="str">
        <x:v>G</x:v>
      </x:c>
      <x:c r="D6" s="185" t="str">
        <x:v>オータムブラウン</x:v>
      </x:c>
      <x:c r="E6" s="185" t="str">
        <x:v>FREE</x:v>
      </x:c>
      <x:c r="F6" s="185" t="str">
        <x:v>サッシ外観</x:v>
      </x:c>
      <x:c r="G6" s="185" t="str">
        <x:v>COMPLETE</x:v>
      </x:c>
      <x:c r="H6" s="186" t="str">
        <x:v>BATH-EV-003,004</x:v>
      </x:c>
    </x:row>
    <x:row r="7">
      <x:c r="A7" s="184" t="str">
        <x:v>BATH-COL-COV-G</x:v>
      </x:c>
      <x:c r="B7" s="185" t="str">
        <x:v>exterior_cover_color</x:v>
      </x:c>
      <x:c r="C7" s="185" t="str">
        <x:v>G</x:v>
      </x:c>
      <x:c r="D7" s="185" t="str">
        <x:v>オータムブラウン</x:v>
      </x:c>
      <x:c r="E7" s="185" t="str">
        <x:v>FREE</x:v>
      </x:c>
      <x:c r="F7" s="185" t="str">
        <x:v>化粧カバー</x:v>
      </x:c>
      <x:c r="G7" s="185" t="str">
        <x:v>COMPLETE</x:v>
      </x:c>
      <x:c r="H7" s="186" t="str">
        <x:v>BATH-EV-003,004</x:v>
      </x:c>
    </x:row>
    <x:row r="8">
      <x:c r="A8" s="184" t="str">
        <x:v>BATH-COL-EXT-K</x:v>
      </x:c>
      <x:c r="B8" s="185" t="str">
        <x:v>sash_exterior_color</x:v>
      </x:c>
      <x:c r="C8" s="185" t="str">
        <x:v>K</x:v>
      </x:c>
      <x:c r="D8" s="185" t="str">
        <x:v>シャイングレー</x:v>
      </x:c>
      <x:c r="E8" s="185" t="str">
        <x:v>FREE</x:v>
      </x:c>
      <x:c r="F8" s="185" t="str">
        <x:v>サッシ外観</x:v>
      </x:c>
      <x:c r="G8" s="185" t="str">
        <x:v>COMPLETE</x:v>
      </x:c>
      <x:c r="H8" s="186" t="str">
        <x:v>BATH-EV-003,004</x:v>
      </x:c>
    </x:row>
    <x:row r="9">
      <x:c r="A9" s="184" t="str">
        <x:v>BATH-COL-COV-K</x:v>
      </x:c>
      <x:c r="B9" s="185" t="str">
        <x:v>exterior_cover_color</x:v>
      </x:c>
      <x:c r="C9" s="185" t="str">
        <x:v>K</x:v>
      </x:c>
      <x:c r="D9" s="185" t="str">
        <x:v>シャイングレー</x:v>
      </x:c>
      <x:c r="E9" s="185" t="str">
        <x:v>FREE</x:v>
      </x:c>
      <x:c r="F9" s="185" t="str">
        <x:v>化粧カバー</x:v>
      </x:c>
      <x:c r="G9" s="185" t="str">
        <x:v>COMPLETE</x:v>
      </x:c>
      <x:c r="H9" s="186" t="str">
        <x:v>BATH-EV-003,004</x:v>
      </x:c>
    </x:row>
    <x:row r="10">
      <x:c r="A10" s="184" t="str">
        <x:v>BATH-COL-EXT-D</x:v>
      </x:c>
      <x:c r="B10" s="185" t="str">
        <x:v>sash_exterior_color</x:v>
      </x:c>
      <x:c r="C10" s="185" t="str">
        <x:v>D</x:v>
      </x:c>
      <x:c r="D10" s="185" t="str">
        <x:v>ナチュラルシルバー</x:v>
      </x:c>
      <x:c r="E10" s="185" t="str">
        <x:v>FREE</x:v>
      </x:c>
      <x:c r="F10" s="185" t="str">
        <x:v>サッシ外観</x:v>
      </x:c>
      <x:c r="G10" s="185" t="str">
        <x:v>COMPLETE</x:v>
      </x:c>
      <x:c r="H10" s="186" t="str">
        <x:v>BATH-EV-003,004</x:v>
      </x:c>
    </x:row>
    <x:row r="11">
      <x:c r="A11" s="184" t="str">
        <x:v>BATH-COL-COV-D</x:v>
      </x:c>
      <x:c r="B11" s="185" t="str">
        <x:v>exterior_cover_color</x:v>
      </x:c>
      <x:c r="C11" s="185" t="str">
        <x:v>D</x:v>
      </x:c>
      <x:c r="D11" s="185" t="str">
        <x:v>ナチュラルシルバー</x:v>
      </x:c>
      <x:c r="E11" s="185" t="str">
        <x:v>FREE</x:v>
      </x:c>
      <x:c r="F11" s="185" t="str">
        <x:v>化粧カバー</x:v>
      </x:c>
      <x:c r="G11" s="185" t="str">
        <x:v>COMPLETE</x:v>
      </x:c>
      <x:c r="H11" s="186" t="str">
        <x:v>BATH-EV-003,004</x:v>
      </x:c>
    </x:row>
    <x:row r="12">
      <x:c r="A12" s="184" t="str">
        <x:v>BATH-COL-EXT-W</x:v>
      </x:c>
      <x:c r="B12" s="185" t="str">
        <x:v>sash_exterior_color</x:v>
      </x:c>
      <x:c r="C12" s="185" t="str">
        <x:v>W</x:v>
      </x:c>
      <x:c r="D12" s="185" t="str">
        <x:v>ホワイト</x:v>
      </x:c>
      <x:c r="E12" s="185" t="str">
        <x:v>FREE</x:v>
      </x:c>
      <x:c r="F12" s="185" t="str">
        <x:v>サッシ外観</x:v>
      </x:c>
      <x:c r="G12" s="185" t="str">
        <x:v>COMPLETE</x:v>
      </x:c>
      <x:c r="H12" s="186" t="str">
        <x:v>BATH-EV-003,004</x:v>
      </x:c>
    </x:row>
    <x:row r="13">
      <x:c r="A13" s="184" t="str">
        <x:v>BATH-COL-COV-W</x:v>
      </x:c>
      <x:c r="B13" s="185" t="str">
        <x:v>exterior_cover_color</x:v>
      </x:c>
      <x:c r="C13" s="185" t="str">
        <x:v>W</x:v>
      </x:c>
      <x:c r="D13" s="185" t="str">
        <x:v>ホワイト</x:v>
      </x:c>
      <x:c r="E13" s="185" t="str">
        <x:v>FREE</x:v>
      </x:c>
      <x:c r="F13" s="185" t="str">
        <x:v>化粧カバー</x:v>
      </x:c>
      <x:c r="G13" s="185" t="str">
        <x:v>COMPLETE</x:v>
      </x:c>
      <x:c r="H13" s="186" t="str">
        <x:v>BATH-EV-003,004</x:v>
      </x:c>
    </x:row>
    <x:row r="14">
      <x:c r="A14" s="184" t="str">
        <x:v>BATH-COL-INT-M</x:v>
      </x:c>
      <x:c r="B14" s="185" t="str">
        <x:v>sash_interior_color</x:v>
      </x:c>
      <x:c r="C14" s="185" t="str">
        <x:v>M</x:v>
      </x:c>
      <x:c r="D14" s="185" t="str">
        <x:v>ブラック</x:v>
      </x:c>
      <x:c r="E14" s="185" t="str">
        <x:v>FREE</x:v>
      </x:c>
      <x:c r="F14" s="185" t="str">
        <x:v>サッシ内観</x:v>
      </x:c>
      <x:c r="G14" s="185" t="str">
        <x:v>COMPLETE</x:v>
      </x:c>
      <x:c r="H14" s="186" t="str">
        <x:v>BATH-EV-003,004</x:v>
      </x:c>
    </x:row>
    <x:row r="15">
      <x:c r="A15" s="184" t="str">
        <x:v>BATH-COL-ANG-M</x:v>
      </x:c>
      <x:c r="B15" s="185" t="str">
        <x:v>interior_cover_color</x:v>
      </x:c>
      <x:c r="C15" s="185" t="str">
        <x:v>M</x:v>
      </x:c>
      <x:c r="D15" s="185" t="str">
        <x:v>ブラック</x:v>
      </x:c>
      <x:c r="E15" s="185" t="str">
        <x:v>WINDOW_ONLY</x:v>
      </x:c>
      <x:c r="F15" s="185" t="str">
        <x:v>樹脂アングルカバー</x:v>
      </x:c>
      <x:c r="G15" s="185" t="str">
        <x:v>COMPLETE</x:v>
      </x:c>
      <x:c r="H15" s="186" t="str">
        <x:v>BATH-EV-003,004</x:v>
      </x:c>
    </x:row>
    <x:row r="16">
      <x:c r="A16" s="184" t="str">
        <x:v>BATH-COL-INT-F</x:v>
      </x:c>
      <x:c r="B16" s="185" t="str">
        <x:v>sash_interior_color</x:v>
      </x:c>
      <x:c r="C16" s="185" t="str">
        <x:v>F</x:v>
      </x:c>
      <x:c r="D16" s="185" t="str">
        <x:v>プレシャスホワイトP</x:v>
      </x:c>
      <x:c r="E16" s="185" t="str">
        <x:v>FREE</x:v>
      </x:c>
      <x:c r="F16" s="185" t="str">
        <x:v>サッシ内観</x:v>
      </x:c>
      <x:c r="G16" s="185" t="str">
        <x:v>COMPLETE</x:v>
      </x:c>
      <x:c r="H16" s="186" t="str">
        <x:v>BATH-EV-003,004</x:v>
      </x:c>
    </x:row>
    <x:row r="17">
      <x:c r="A17" s="187" t="str">
        <x:v>BATH-COL-ANG-F</x:v>
      </x:c>
      <x:c r="B17" s="188" t="str">
        <x:v>interior_cover_color</x:v>
      </x:c>
      <x:c r="C17" s="188" t="str">
        <x:v>F</x:v>
      </x:c>
      <x:c r="D17" s="188" t="str">
        <x:v>プレシャスホワイトP</x:v>
      </x:c>
      <x:c r="E17" s="188" t="str">
        <x:v>WINDOW_ONLY</x:v>
      </x:c>
      <x:c r="F17" s="188" t="str">
        <x:v>樹脂アングルカバー</x:v>
      </x:c>
      <x:c r="G17" s="188" t="str">
        <x:v>COMPLETE</x:v>
      </x:c>
      <x:c r="H17" s="189" t="str">
        <x:v>BATH-EV-003,004</x:v>
      </x:c>
    </x:row>
    <x:row r="18">
      <x:c r="A18" s="35"/>
      <x:c r="B18" s="36"/>
      <x:c r="C18" s="36"/>
      <x:c r="D18" s="36"/>
      <x:c r="E18" s="36"/>
      <x:c r="F18" s="36"/>
      <x:c r="G18" s="36"/>
      <x:c r="H18" s="37"/>
    </x:row>
    <x:row r="19">
      <x:c r="A19" s="35"/>
      <x:c r="B19" s="36"/>
      <x:c r="C19" s="36"/>
      <x:c r="D19" s="36"/>
      <x:c r="E19" s="36"/>
      <x:c r="F19" s="36"/>
      <x:c r="G19" s="36"/>
      <x:c r="H19" s="37"/>
    </x:row>
    <x:row r="20">
      <x:c r="A20" s="35"/>
      <x:c r="B20" s="36"/>
      <x:c r="C20" s="36"/>
      <x:c r="D20" s="36"/>
      <x:c r="E20" s="36"/>
      <x:c r="F20" s="36"/>
      <x:c r="G20" s="36"/>
      <x:c r="H20" s="37"/>
    </x:row>
    <x:row r="21">
      <x:c r="A21" s="35"/>
      <x:c r="B21" s="36"/>
      <x:c r="C21" s="36"/>
      <x:c r="D21" s="36"/>
      <x:c r="E21" s="36"/>
      <x:c r="F21" s="36"/>
      <x:c r="G21" s="36"/>
      <x:c r="H21" s="37"/>
    </x:row>
    <x:row r="22">
      <x:c r="A22" s="35"/>
      <x:c r="B22" s="36"/>
      <x:c r="C22" s="36"/>
      <x:c r="D22" s="36"/>
      <x:c r="E22" s="36"/>
      <x:c r="F22" s="36"/>
      <x:c r="G22" s="36"/>
      <x:c r="H22" s="37"/>
    </x:row>
    <x:row r="23">
      <x:c r="A23" s="35"/>
      <x:c r="B23" s="36"/>
      <x:c r="C23" s="36"/>
      <x:c r="D23" s="36"/>
      <x:c r="E23" s="36"/>
      <x:c r="F23" s="36"/>
      <x:c r="G23" s="36"/>
      <x:c r="H23" s="37"/>
    </x:row>
    <x:row r="24">
      <x:c r="A24" s="35"/>
      <x:c r="B24" s="36"/>
      <x:c r="C24" s="36"/>
      <x:c r="D24" s="36"/>
      <x:c r="E24" s="36"/>
      <x:c r="F24" s="36"/>
      <x:c r="G24" s="36"/>
      <x:c r="H24" s="37"/>
    </x:row>
    <x:row r="25">
      <x:c r="A25" s="35"/>
      <x:c r="B25" s="36"/>
      <x:c r="C25" s="36"/>
      <x:c r="D25" s="36"/>
      <x:c r="E25" s="36"/>
      <x:c r="F25" s="36"/>
      <x:c r="G25" s="36"/>
      <x:c r="H25" s="37"/>
    </x:row>
    <x:row r="26">
      <x:c r="A26" s="35"/>
      <x:c r="B26" s="36"/>
      <x:c r="C26" s="36"/>
      <x:c r="D26" s="36"/>
      <x:c r="E26" s="36"/>
      <x:c r="F26" s="36"/>
      <x:c r="G26" s="36"/>
      <x:c r="H26" s="37"/>
    </x:row>
    <x:row r="27">
      <x:c r="A27" s="35"/>
      <x:c r="B27" s="36"/>
      <x:c r="C27" s="36"/>
      <x:c r="D27" s="36"/>
      <x:c r="E27" s="36"/>
      <x:c r="F27" s="36"/>
      <x:c r="G27" s="36"/>
      <x:c r="H27" s="37"/>
    </x:row>
    <x:row r="28">
      <x:c r="A28" s="35"/>
      <x:c r="B28" s="36"/>
      <x:c r="C28" s="36"/>
      <x:c r="D28" s="36"/>
      <x:c r="E28" s="36"/>
      <x:c r="F28" s="36"/>
      <x:c r="G28" s="36"/>
      <x:c r="H28" s="37"/>
    </x:row>
    <x:row r="29">
      <x:c r="A29" s="38"/>
      <x:c r="B29" s="39"/>
      <x:c r="C29" s="39"/>
      <x:c r="D29" s="39"/>
      <x:c r="E29" s="39"/>
      <x:c r="F29" s="39"/>
      <x:c r="G29" s="39"/>
      <x:c r="H29" s="40"/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8" hidden="0" customWidth="1"/>
    <x:col min="5" max="5" width="20" hidden="0" customWidth="1"/>
    <x:col min="6" max="6" width="34" hidden="0" customWidth="1"/>
    <x:col min="7" max="7" width="70" hidden="0" customWidth="1"/>
    <x:col min="8" max="8" width="18" hidden="0" customWidth="1"/>
    <x:col min="9" max="9" width="22" hidden="0" customWidth="1"/>
  </x:cols>
  <x:sheetData>
    <x:row r="1" ht="28" customHeight="1">
      <x:c r="A1" s="178" t="str">
        <x:v>06A_色適用条件｜浴室仕様</x:v>
      </x:c>
      <x:c r="B1" s="178"/>
      <x:c r="C1" s="178"/>
      <x:c r="D1" s="178"/>
      <x:c r="E1" s="178"/>
      <x:c r="F1" s="178"/>
      <x:c r="G1" s="178"/>
      <x:c r="H1" s="178"/>
      <x:c r="I1" s="178"/>
    </x:row>
    <x:row r="3" ht="30" customHeight="1">
      <x:c r="A3" s="181" t="str">
        <x:v>rule_id</x:v>
      </x:c>
      <x:c r="B3" s="182" t="str">
        <x:v>variation_id</x:v>
      </x:c>
      <x:c r="C3" s="182" t="str">
        <x:v>sash_exterior</x:v>
      </x:c>
      <x:c r="D3" s="182" t="str">
        <x:v>sash_interior</x:v>
      </x:c>
      <x:c r="E3" s="182" t="str">
        <x:v>cover</x:v>
      </x:c>
      <x:c r="F3" s="182" t="str">
        <x:v>interior_cover</x:v>
      </x:c>
      <x:c r="G3" s="182" t="str">
        <x:v>condition</x:v>
      </x:c>
      <x:c r="H3" s="182" t="str">
        <x:v>status</x:v>
      </x:c>
      <x:c r="I3" s="183" t="str">
        <x:v>evidence</x:v>
      </x:c>
    </x:row>
    <x:row r="4">
      <x:c r="A4" s="184" t="str">
        <x:v>BATH-CM-001</x:v>
      </x:c>
      <x:c r="B4" s="185" t="str">
        <x:v>RPL_BATH</x:v>
      </x:c>
      <x:c r="C4" s="185" t="str">
        <x:v>5色</x:v>
      </x:c>
      <x:c r="D4" s="185" t="str">
        <x:v>ブラック/プレシャスホワイトP</x:v>
      </x:c>
      <x:c r="E4" s="185" t="str">
        <x:v>5色</x:v>
      </x:c>
      <x:c r="F4" s="185" t="str">
        <x:v>—</x:v>
      </x:c>
      <x:c r="G4" s="185" t="str">
        <x:v>外観・内観組合せ自由</x:v>
      </x:c>
      <x:c r="H4" s="185" t="str">
        <x:v>COMPLETE</x:v>
      </x:c>
      <x:c r="I4" s="186" t="str">
        <x:v>BATH-EV-003,004</x:v>
      </x:c>
    </x:row>
    <x:row r="5">
      <x:c r="A5" s="184" t="str">
        <x:v>BATH-CM-002</x:v>
      </x:c>
      <x:c r="B5" s="185" t="str">
        <x:v>RPL_BATH</x:v>
      </x:c>
      <x:c r="C5" s="185" t="str">
        <x:v>—</x:v>
      </x:c>
      <x:c r="D5" s="185" t="str">
        <x:v>—</x:v>
      </x:c>
      <x:c r="E5" s="185" t="str">
        <x:v>—</x:v>
      </x:c>
      <x:c r="F5" s="185" t="str">
        <x:v>ブラック/プレシャスホワイトP</x:v>
      </x:c>
      <x:c r="G5" s="185" t="str">
        <x:v>WINDOW_ONLYのみ表示</x:v>
      </x:c>
      <x:c r="H5" s="185" t="str">
        <x:v>COMPLETE</x:v>
      </x:c>
      <x:c r="I5" s="186" t="str">
        <x:v>BATH-EV-003,004</x:v>
      </x:c>
    </x:row>
    <x:row r="6">
      <x:c r="A6" s="187" t="str">
        <x:v>BATH-CM-003</x:v>
      </x:c>
      <x:c r="B6" s="188" t="str">
        <x:v>RPL_BATH</x:v>
      </x:c>
      <x:c r="C6" s="188" t="str">
        <x:v>—</x:v>
      </x:c>
      <x:c r="D6" s="188" t="str">
        <x:v>—</x:v>
      </x:c>
      <x:c r="E6" s="188" t="str">
        <x:v>—</x:v>
      </x:c>
      <x:c r="F6" s="188" t="str">
        <x:v>SYSTEM_BATH_TRIM_EXTERNAL</x:v>
      </x:c>
      <x:c r="G6" s="188" t="str">
        <x:v>SB額縁はSB側オプションのため非表示</x:v>
      </x:c>
      <x:c r="H6" s="188" t="str">
        <x:v>COMPLETE</x:v>
      </x:c>
      <x:c r="I6" s="189" t="str">
        <x:v>BATH-EV-004</x:v>
      </x:c>
    </x:row>
  </x:sheetData>
  <x:mergeCells>
    <x:mergeCell ref="A1:I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22" hidden="0" customWidth="1"/>
    <x:col min="4" max="4" width="16" hidden="0" customWidth="1"/>
    <x:col min="5" max="5" width="48" hidden="0" customWidth="1"/>
    <x:col min="6" max="6" width="34" hidden="0" customWidth="1"/>
    <x:col min="7" max="7" width="30" hidden="0" customWidth="1"/>
    <x:col min="8" max="8" width="22" hidden="0" customWidth="1"/>
    <x:col min="9" max="9" width="18" hidden="0" customWidth="1"/>
  </x:cols>
  <x:sheetData>
    <x:row r="1" ht="28" customHeight="1">
      <x:c r="A1" s="178" t="str">
        <x:v>07_網戸｜浴室仕様</x:v>
      </x:c>
      <x:c r="B1" s="178"/>
      <x:c r="C1" s="178"/>
      <x:c r="D1" s="178"/>
      <x:c r="E1" s="178"/>
      <x:c r="F1" s="178"/>
      <x:c r="G1" s="178"/>
      <x:c r="H1" s="178"/>
      <x:c r="I1" s="127"/>
    </x:row>
    <x:row r="2" ht="34" customHeight="1">
      <x:c r="A2" s="130"/>
      <x:c r="B2" s="130"/>
      <x:c r="C2" s="130"/>
      <x:c r="D2" s="130"/>
      <x:c r="E2" s="130"/>
      <x:c r="F2" s="130"/>
      <x:c r="G2" s="130"/>
      <x:c r="H2" s="130"/>
      <x:c r="I2" s="133"/>
    </x:row>
    <x:row r="3">
      <x:c r="A3" s="181" t="str">
        <x:v>screen_id</x:v>
      </x:c>
      <x:c r="B3" s="182" t="str">
        <x:v>公式名称</x:v>
      </x:c>
      <x:c r="C3" s="182" t="str">
        <x:v>screen_type</x:v>
      </x:c>
      <x:c r="D3" s="182" t="str">
        <x:v>middle_bar</x:v>
      </x:c>
      <x:c r="E3" s="182" t="str">
        <x:v>mesh_options</x:v>
      </x:c>
      <x:c r="F3" s="182" t="str">
        <x:v>適用窓種</x:v>
      </x:c>
      <x:c r="G3" s="182" t="str">
        <x:v>status</x:v>
      </x:c>
      <x:c r="H3" s="183" t="str">
        <x:v>evidence</x:v>
      </x:c>
    </x:row>
    <x:row r="4" ht="30" customHeight="1">
      <x:c r="A4" s="196" t="str">
        <x:v>BATH-SCR-SLD</x:v>
      </x:c>
      <x:c r="B4" s="198" t="str">
        <x:v>引違い網戸</x:v>
      </x:c>
      <x:c r="C4" s="198" t="str">
        <x:v>SLIDING</x:v>
      </x:c>
      <x:c r="D4" s="198" t="str">
        <x:v>中桟無</x:v>
      </x:c>
      <x:c r="E4" s="198" t="str">
        <x:v>標準/きれい/虫イヤ/ペット</x:v>
      </x:c>
      <x:c r="F4" s="198" t="str">
        <x:v>RPL_BATH_SLD</x:v>
      </x:c>
      <x:c r="G4" s="198" t="str">
        <x:v>COMPLETE</x:v>
      </x:c>
      <x:c r="H4" s="197" t="str">
        <x:v>BATH-EV-005</x:v>
      </x:c>
      <x:c r="I4" s="143"/>
    </x:row>
    <x:row r="5">
      <x:c r="A5" s="184" t="str">
        <x:v>BATH-SCR-FIX-FL</x:v>
      </x:c>
      <x:c r="B5" s="185" t="str">
        <x:v>固定式網戸（フレームレス）</x:v>
      </x:c>
      <x:c r="C5" s="185" t="str">
        <x:v>FIXED</x:v>
      </x:c>
      <x:c r="D5" s="185" t="str">
        <x:v>—</x:v>
      </x:c>
      <x:c r="E5" s="185" t="str">
        <x:v>標準/きれい/虫イヤ</x:v>
      </x:c>
      <x:c r="F5" s="185" t="str">
        <x:v>VSOP/HSOP</x:v>
      </x:c>
      <x:c r="G5" s="185" t="str">
        <x:v>COMPLETE</x:v>
      </x:c>
      <x:c r="H5" s="186" t="str">
        <x:v>BATH-EV-005</x:v>
      </x:c>
      <x:c r="I5" s="146"/>
    </x:row>
    <x:row r="6">
      <x:c r="A6" s="184" t="str">
        <x:v>BATH-SCR-FIX-TAG</x:v>
      </x:c>
      <x:c r="B6" s="185" t="str">
        <x:v>固定式網戸（タグ付フレームレス）</x:v>
      </x:c>
      <x:c r="C6" s="185" t="str">
        <x:v>FIXED</x:v>
      </x:c>
      <x:c r="D6" s="185" t="str">
        <x:v>—</x:v>
      </x:c>
      <x:c r="E6" s="185" t="str">
        <x:v>標準/きれい/虫イヤ</x:v>
      </x:c>
      <x:c r="F6" s="185" t="str">
        <x:v>VSOP/HSOP</x:v>
      </x:c>
      <x:c r="G6" s="185" t="str">
        <x:v>COMPLETE</x:v>
      </x:c>
      <x:c r="H6" s="186" t="str">
        <x:v>BATH-EV-005</x:v>
      </x:c>
      <x:c r="I6" s="146"/>
    </x:row>
    <x:row r="7">
      <x:c r="A7" s="184" t="str">
        <x:v>BATH-SCR-FIX-FR</x:v>
      </x:c>
      <x:c r="B7" s="185" t="str">
        <x:v>固定式網戸（フレーム付）</x:v>
      </x:c>
      <x:c r="C7" s="185" t="str">
        <x:v>FIXED</x:v>
      </x:c>
      <x:c r="D7" s="185" t="str">
        <x:v>—</x:v>
      </x:c>
      <x:c r="E7" s="185" t="str">
        <x:v>標準/きれい/虫イヤ/ペット</x:v>
      </x:c>
      <x:c r="F7" s="185" t="str">
        <x:v>VSOP/HSOP</x:v>
      </x:c>
      <x:c r="G7" s="185" t="str">
        <x:v>COMPLETE</x:v>
      </x:c>
      <x:c r="H7" s="186" t="str">
        <x:v>BATH-EV-005</x:v>
      </x:c>
      <x:c r="I7" s="146"/>
    </x:row>
    <x:row r="8">
      <x:c r="A8" s="184" t="str">
        <x:v>BATH-SCR-ROLL-H</x:v>
      </x:c>
      <x:c r="B8" s="185" t="str">
        <x:v>横引きロール網戸</x:v>
      </x:c>
      <x:c r="C8" s="185" t="str">
        <x:v>ROLL_HORIZONTAL</x:v>
      </x:c>
      <x:c r="D8" s="185" t="str">
        <x:v>—</x:v>
      </x:c>
      <x:c r="E8" s="185" t="str">
        <x:v>標準/きれい/虫イヤ</x:v>
      </x:c>
      <x:c r="F8" s="185" t="str">
        <x:v>VSCAM/HSCAM</x:v>
      </x:c>
      <x:c r="G8" s="185" t="str">
        <x:v>COMPLETE</x:v>
      </x:c>
      <x:c r="H8" s="186" t="str">
        <x:v>BATH-EV-005</x:v>
      </x:c>
      <x:c r="I8" s="146"/>
    </x:row>
    <x:row r="9">
      <x:c r="A9" s="184" t="str">
        <x:v>BATH-SCR-ROLL-UP</x:v>
      </x:c>
      <x:c r="B9" s="185" t="str">
        <x:v>上げ下げロール網戸（木額縁用）</x:v>
      </x:c>
      <x:c r="C9" s="185" t="str">
        <x:v>ROLL_VERTICAL</x:v>
      </x:c>
      <x:c r="D9" s="185" t="str">
        <x:v>—</x:v>
      </x:c>
      <x:c r="E9" s="185" t="str">
        <x:v>公式設定</x:v>
      </x:c>
      <x:c r="F9" s="185" t="str">
        <x:v>VSCAM</x:v>
      </x:c>
      <x:c r="G9" s="185" t="str">
        <x:v>COMPLETE_WITH_EXTERNAL_CHECK</x:v>
      </x:c>
      <x:c r="H9" s="186" t="str">
        <x:v>BATH-EV-011</x:v>
      </x:c>
      <x:c r="I9" s="146"/>
    </x:row>
    <x:row r="10">
      <x:c r="A10" s="184" t="str">
        <x:v>BATH-SCR-DH</x:v>
      </x:c>
      <x:c r="B10" s="185" t="str">
        <x:v>上げ下げ式網戸</x:v>
      </x:c>
      <x:c r="C10" s="185" t="str">
        <x:v>SLIDING_VERTICAL</x:v>
      </x:c>
      <x:c r="D10" s="185" t="str">
        <x:v>—</x:v>
      </x:c>
      <x:c r="E10" s="185" t="str">
        <x:v>公式設定</x:v>
      </x:c>
      <x:c r="F10" s="185" t="str">
        <x:v>DHFS</x:v>
      </x:c>
      <x:c r="G10" s="185" t="str">
        <x:v>COMPLETE</x:v>
      </x:c>
      <x:c r="H10" s="186" t="str">
        <x:v>BATH-EV-005</x:v>
      </x:c>
      <x:c r="I10" s="146"/>
    </x:row>
    <x:row r="11">
      <x:c r="A11" s="187" t="str">
        <x:v>BATH-SCR-NONE</x:v>
      </x:c>
      <x:c r="B11" s="188" t="str">
        <x:v>網戸なし</x:v>
      </x:c>
      <x:c r="C11" s="188" t="str">
        <x:v>NONE</x:v>
      </x:c>
      <x:c r="D11" s="188" t="str">
        <x:v>—</x:v>
      </x:c>
      <x:c r="E11" s="188" t="str">
        <x:v>—</x:v>
      </x:c>
      <x:c r="F11" s="188" t="str">
        <x:v>FIXOUT/FIXIN</x:v>
      </x:c>
      <x:c r="G11" s="188" t="str">
        <x:v>COMPLETE</x:v>
      </x:c>
      <x:c r="H11" s="189" t="str">
        <x:v>BATH-EV-005</x:v>
      </x:c>
      <x:c r="I11" s="149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8"/>
      <x:c r="B13" s="39"/>
      <x:c r="C13" s="39"/>
      <x:c r="D13" s="39"/>
      <x:c r="E13" s="39"/>
      <x:c r="F13" s="39"/>
      <x:c r="G13" s="39"/>
      <x:c r="H13" s="40"/>
    </x:row>
  </x:sheetData>
  <x:mergeCells>
    <x:mergeCell ref="A1:H1"/>
    <x:mergeCell ref="A2:H2"/>
    <x:mergeCell ref="A1:I1"/>
    <x:mergeCell ref="A2:I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0" hidden="0" customWidth="1"/>
    <x:col min="4" max="4" width="48" hidden="0" customWidth="1"/>
    <x:col min="5" max="5" width="24" hidden="0" customWidth="1"/>
    <x:col min="6" max="6" width="62" hidden="0" customWidth="1"/>
    <x:col min="7" max="7" width="30" hidden="0" customWidth="1"/>
    <x:col min="8" max="8" width="22" hidden="0" customWidth="1"/>
    <x:col min="9" max="9" width="18" hidden="0" customWidth="1"/>
  </x:cols>
  <x:sheetData>
    <x:row r="1" ht="28" customHeight="1">
      <x:c r="A1" s="178" t="str">
        <x:v>07A_網戸適用条件｜浴室仕様</x:v>
      </x:c>
      <x:c r="B1" s="178"/>
      <x:c r="C1" s="178"/>
      <x:c r="D1" s="178"/>
      <x:c r="E1" s="178"/>
      <x:c r="F1" s="178"/>
      <x:c r="G1" s="178"/>
      <x:c r="H1" s="178"/>
      <x:c r="I1" s="127"/>
    </x:row>
    <x:row r="3" ht="30" customHeight="1">
      <x:c r="A3" s="181" t="str">
        <x:v>rule_id</x:v>
      </x:c>
      <x:c r="B3" s="182" t="str">
        <x:v>window_type_id</x:v>
      </x:c>
      <x:c r="C3" s="182" t="str">
        <x:v>screen_id</x:v>
      </x:c>
      <x:c r="D3" s="182" t="str">
        <x:v>condition</x:v>
      </x:c>
      <x:c r="E3" s="182" t="str">
        <x:v>ui_action</x:v>
      </x:c>
      <x:c r="F3" s="182" t="str">
        <x:v>note</x:v>
      </x:c>
      <x:c r="G3" s="182" t="str">
        <x:v>status</x:v>
      </x:c>
      <x:c r="H3" s="183" t="str">
        <x:v>evidence</x:v>
      </x:c>
      <x:c r="I3" s="143"/>
    </x:row>
    <x:row r="4">
      <x:c r="A4" s="184" t="str">
        <x:v>BATH-SC-SLD</x:v>
      </x:c>
      <x:c r="B4" s="185" t="str">
        <x:v>RPL_BATH_SLD</x:v>
      </x:c>
      <x:c r="C4" s="185" t="str">
        <x:v>BATH-SCR-SLD</x:v>
      </x:c>
      <x:c r="D4" s="185" t="str">
        <x:v>ANY</x:v>
      </x:c>
      <x:c r="E4" s="185" t="str">
        <x:v>SHOW</x:v>
      </x:c>
      <x:c r="F4" s="185" t="str">
        <x:v>中桟無固定</x:v>
      </x:c>
      <x:c r="G4" s="185" t="str">
        <x:v>COMPLETE</x:v>
      </x:c>
      <x:c r="H4" s="186" t="str">
        <x:v>BATH-EV-005</x:v>
      </x:c>
      <x:c r="I4" s="146"/>
    </x:row>
    <x:row r="5">
      <x:c r="A5" s="184" t="str">
        <x:v>BATH-SC-VSOP-FR</x:v>
      </x:c>
      <x:c r="B5" s="185" t="str">
        <x:v>RPL_BATH_VSOP</x:v>
      </x:c>
      <x:c r="C5" s="185" t="str">
        <x:v>BATH-SCR-FIX-FR</x:v>
      </x:c>
      <x:c r="D5" s="185" t="str">
        <x:v>開口別W範囲かつ316&lt;=HD&lt;=1616</x:v>
      </x:c>
      <x:c r="E5" s="185" t="str">
        <x:v>SHOW_IF_ALLOWED</x:v>
      </x:c>
      <x:c r="F5" s="185" t="str">
        <x:v>フレーム付対応範囲</x:v>
      </x:c>
      <x:c r="G5" s="185" t="str">
        <x:v>COMPLETE</x:v>
      </x:c>
      <x:c r="H5" s="186" t="str">
        <x:v>BATH-EV-005</x:v>
      </x:c>
      <x:c r="I5" s="146"/>
    </x:row>
    <x:row r="6">
      <x:c r="A6" s="184" t="str">
        <x:v>BATH-SC-VSOP-FL</x:v>
      </x:c>
      <x:c r="B6" s="185" t="str">
        <x:v>RPL_BATH_VSOP</x:v>
      </x:c>
      <x:c r="C6" s="185" t="str">
        <x:v>BATH-SCR-FIX-FL/TAG</x:v>
      </x:c>
      <x:c r="D6" s="185" t="str">
        <x:v>ANY</x:v>
      </x:c>
      <x:c r="E6" s="185" t="str">
        <x:v>SHOW</x:v>
      </x:c>
      <x:c r="F6" s="185" t="str">
        <x:v>—</x:v>
      </x:c>
      <x:c r="G6" s="185" t="str">
        <x:v>COMPLETE</x:v>
      </x:c>
      <x:c r="H6" s="186" t="str">
        <x:v>BATH-EV-005</x:v>
      </x:c>
      <x:c r="I6" s="146"/>
    </x:row>
    <x:row r="7">
      <x:c r="A7" s="184" t="str">
        <x:v>BATH-SC-HSOP</x:v>
      </x:c>
      <x:c r="B7" s="185" t="str">
        <x:v>RPL_BATH_HSOP</x:v>
      </x:c>
      <x:c r="C7" s="185" t="str">
        <x:v>BATH-SCR-FIX-FL/TAG/FR</x:v>
      </x:c>
      <x:c r="D7" s="185" t="str">
        <x:v>公式範囲</x:v>
      </x:c>
      <x:c r="E7" s="185" t="str">
        <x:v>SHOW_IF_ALLOWED</x:v>
      </x:c>
      <x:c r="F7" s="185" t="str">
        <x:v>—</x:v>
      </x:c>
      <x:c r="G7" s="185" t="str">
        <x:v>COMPLETE_WITH_EXTERNAL_CHECK</x:v>
      </x:c>
      <x:c r="H7" s="186" t="str">
        <x:v>BATH-EV-005</x:v>
      </x:c>
      <x:c r="I7" s="146"/>
    </x:row>
    <x:row r="8">
      <x:c r="A8" s="184" t="str">
        <x:v>BATH-SC-VSCAM</x:v>
      </x:c>
      <x:c r="B8" s="185" t="str">
        <x:v>RPL_BATH_VSCAM</x:v>
      </x:c>
      <x:c r="C8" s="185" t="str">
        <x:v>BATH-SCR-ROLL-H</x:v>
      </x:c>
      <x:c r="D8" s="185" t="str">
        <x:v>ANY</x:v>
      </x:c>
      <x:c r="E8" s="185" t="str">
        <x:v>SHOW</x:v>
      </x:c>
      <x:c r="F8" s="185" t="str">
        <x:v>—</x:v>
      </x:c>
      <x:c r="G8" s="185" t="str">
        <x:v>COMPLETE</x:v>
      </x:c>
      <x:c r="H8" s="186" t="str">
        <x:v>BATH-EV-005</x:v>
      </x:c>
      <x:c r="I8" s="146"/>
    </x:row>
    <x:row r="9">
      <x:c r="A9" s="184" t="str">
        <x:v>BATH-SC-HSCAM</x:v>
      </x:c>
      <x:c r="B9" s="185" t="str">
        <x:v>RPL_BATH_HSCAM</x:v>
      </x:c>
      <x:c r="C9" s="185" t="str">
        <x:v>BATH-SCR-ROLL-H</x:v>
      </x:c>
      <x:c r="D9" s="185" t="str">
        <x:v>ANY</x:v>
      </x:c>
      <x:c r="E9" s="185" t="str">
        <x:v>SHOW</x:v>
      </x:c>
      <x:c r="F9" s="185" t="str">
        <x:v>—</x:v>
      </x:c>
      <x:c r="G9" s="185" t="str">
        <x:v>COMPLETE</x:v>
      </x:c>
      <x:c r="H9" s="186" t="str">
        <x:v>BATH-EV-005</x:v>
      </x:c>
      <x:c r="I9" s="146"/>
    </x:row>
    <x:row r="10">
      <x:c r="A10" s="184" t="str">
        <x:v>BATH-SC-DH</x:v>
      </x:c>
      <x:c r="B10" s="185" t="str">
        <x:v>RPL_BATH_DHFS</x:v>
      </x:c>
      <x:c r="C10" s="185" t="str">
        <x:v>BATH-SCR-DH</x:v>
      </x:c>
      <x:c r="D10" s="185" t="str">
        <x:v>ANY</x:v>
      </x:c>
      <x:c r="E10" s="185" t="str">
        <x:v>SHOW</x:v>
      </x:c>
      <x:c r="F10" s="185" t="str">
        <x:v>面格子付は室内脱着不可</x:v>
      </x:c>
      <x:c r="G10" s="185" t="str">
        <x:v>COMPLETE</x:v>
      </x:c>
      <x:c r="H10" s="186" t="str">
        <x:v>BATH-EV-005</x:v>
      </x:c>
      <x:c r="I10" s="146"/>
    </x:row>
    <x:row r="11">
      <x:c r="A11" s="184" t="str">
        <x:v>BATH-SC-FIXOUT</x:v>
      </x:c>
      <x:c r="B11" s="185" t="str">
        <x:v>RPL_BATH_FIXOUT</x:v>
      </x:c>
      <x:c r="C11" s="185" t="str">
        <x:v>BATH-SCR-NONE</x:v>
      </x:c>
      <x:c r="D11" s="185" t="str">
        <x:v>ANY</x:v>
      </x:c>
      <x:c r="E11" s="185" t="str">
        <x:v>HIDE_SCREEN_UI</x:v>
      </x:c>
      <x:c r="F11" s="185" t="str">
        <x:v>非適用</x:v>
      </x:c>
      <x:c r="G11" s="185" t="str">
        <x:v>COMPLETE</x:v>
      </x:c>
      <x:c r="H11" s="186" t="str">
        <x:v>BATH-EV-005</x:v>
      </x:c>
      <x:c r="I11" s="146"/>
    </x:row>
    <x:row r="12">
      <x:c r="A12" s="187" t="str">
        <x:v>BATH-SC-FIXIN</x:v>
      </x:c>
      <x:c r="B12" s="188" t="str">
        <x:v>RPL_BATH_FIXIN</x:v>
      </x:c>
      <x:c r="C12" s="188" t="str">
        <x:v>BATH-SCR-NONE</x:v>
      </x:c>
      <x:c r="D12" s="188" t="str">
        <x:v>ANY</x:v>
      </x:c>
      <x:c r="E12" s="188" t="str">
        <x:v>HIDE_SCREEN_UI</x:v>
      </x:c>
      <x:c r="F12" s="188" t="str">
        <x:v>非適用</x:v>
      </x:c>
      <x:c r="G12" s="188" t="str">
        <x:v>COMPLETE</x:v>
      </x:c>
      <x:c r="H12" s="189" t="str">
        <x:v>BATH-EV-005</x:v>
      </x:c>
      <x:c r="I12" s="146"/>
    </x:row>
    <x:row r="13">
      <x:c r="A13" s="147"/>
      <x:c r="B13" s="148"/>
      <x:c r="C13" s="148"/>
      <x:c r="D13" s="148"/>
      <x:c r="E13" s="148"/>
      <x:c r="F13" s="148"/>
      <x:c r="G13" s="148"/>
      <x:c r="H13" s="148"/>
      <x:c r="I13" s="149"/>
    </x:row>
  </x:sheetData>
  <x:mergeCells>
    <x:mergeCell ref="A1:H1"/>
    <x:mergeCell ref="A1:I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  <x:col min="3" max="3" width="24" hidden="0" customWidth="1"/>
    <x:col min="4" max="4" width="28" hidden="0" customWidth="1"/>
    <x:col min="5" max="5" width="24" hidden="0" customWidth="1"/>
    <x:col min="6" max="6" width="44" hidden="0" customWidth="1"/>
    <x:col min="7" max="7" width="30" hidden="0" customWidth="1"/>
    <x:col min="8" max="8" width="22" hidden="0" customWidth="1"/>
  </x:cols>
  <x:sheetData>
    <x:row r="1" ht="28" customHeight="1">
      <x:c r="A1" s="178" t="str">
        <x:v>08_ガラス｜浴室仕様</x:v>
      </x:c>
      <x:c r="B1" s="178"/>
      <x:c r="C1" s="178"/>
      <x:c r="D1" s="178"/>
      <x:c r="E1" s="178"/>
      <x:c r="F1" s="178"/>
      <x:c r="G1" s="178"/>
      <x:c r="H1" s="178"/>
    </x:row>
    <x:row r="2" ht="34" customHeight="1">
      <x:c r="A2" s="130"/>
      <x:c r="B2" s="130"/>
      <x:c r="C2" s="130"/>
      <x:c r="D2" s="130"/>
      <x:c r="E2" s="130"/>
      <x:c r="F2" s="130"/>
      <x:c r="G2" s="130"/>
      <x:c r="H2" s="130"/>
    </x:row>
    <x:row r="3">
      <x:c r="A3" s="181" t="str">
        <x:v>glass_id</x:v>
      </x:c>
      <x:c r="B3" s="182" t="str">
        <x:v>公式名称</x:v>
      </x:c>
      <x:c r="C3" s="182" t="str">
        <x:v>glass_category</x:v>
      </x:c>
      <x:c r="D3" s="182" t="str">
        <x:v>gas/cavity</x:v>
      </x:c>
      <x:c r="E3" s="182" t="str">
        <x:v>spacer</x:v>
      </x:c>
      <x:c r="F3" s="182" t="str">
        <x:v>適用</x:v>
      </x:c>
      <x:c r="G3" s="182" t="str">
        <x:v>status</x:v>
      </x:c>
      <x:c r="H3" s="183" t="str">
        <x:v>evidence</x:v>
      </x:c>
    </x:row>
    <x:row r="4" ht="30" customHeight="1">
      <x:c r="A4" s="196" t="str">
        <x:v>BATH-GL-GENERAL</x:v>
      </x:c>
      <x:c r="B4" s="198" t="str">
        <x:v>一般複層ガラス</x:v>
      </x:c>
      <x:c r="C4" s="198" t="str">
        <x:v>GENERAL_DOUBLE</x:v>
      </x:c>
      <x:c r="D4" s="198" t="str">
        <x:v>乾燥空気</x:v>
      </x:c>
      <x:c r="E4" s="198" t="str">
        <x:v>アルミスペーサー</x:v>
      </x:c>
      <x:c r="F4" s="198" t="str">
        <x:v>全窓種</x:v>
      </x:c>
      <x:c r="G4" s="198" t="str">
        <x:v>COMPLETE</x:v>
      </x:c>
      <x:c r="H4" s="197" t="str">
        <x:v>BATH-EV-004,010</x:v>
      </x:c>
    </x:row>
    <x:row r="5">
      <x:c r="A5" s="184" t="str">
        <x:v>BATH-GL-LOWE-CLEAR</x:v>
      </x:c>
      <x:c r="B5" s="185" t="str">
        <x:v>Low-E複層 クリア</x:v>
      </x:c>
      <x:c r="C5" s="185" t="str">
        <x:v>LOW_E_DOUBLE</x:v>
      </x:c>
      <x:c r="D5" s="185" t="str">
        <x:v>アルゴン/乾燥空気</x:v>
      </x:c>
      <x:c r="E5" s="185" t="str">
        <x:v>樹脂/アルミ</x:v>
      </x:c>
      <x:c r="F5" s="185" t="str">
        <x:v>全窓種</x:v>
      </x:c>
      <x:c r="G5" s="185" t="str">
        <x:v>COMPLETE</x:v>
      </x:c>
      <x:c r="H5" s="186" t="str">
        <x:v>BATH-EV-004,010</x:v>
      </x:c>
    </x:row>
    <x:row r="6">
      <x:c r="A6" s="184" t="str">
        <x:v>BATH-GL-LOWE-GREEN</x:v>
      </x:c>
      <x:c r="B6" s="185" t="str">
        <x:v>Low-E複層 グリーン</x:v>
      </x:c>
      <x:c r="C6" s="185" t="str">
        <x:v>LOW_E_DOUBLE</x:v>
      </x:c>
      <x:c r="D6" s="185" t="str">
        <x:v>アルゴン/乾燥空気</x:v>
      </x:c>
      <x:c r="E6" s="185" t="str">
        <x:v>樹脂/アルミ</x:v>
      </x:c>
      <x:c r="F6" s="185" t="str">
        <x:v>全窓種</x:v>
      </x:c>
      <x:c r="G6" s="185" t="str">
        <x:v>COMPLETE</x:v>
      </x:c>
      <x:c r="H6" s="186" t="str">
        <x:v>BATH-EV-004,010</x:v>
      </x:c>
    </x:row>
    <x:row r="7">
      <x:c r="A7" s="184" t="str">
        <x:v>BATH-GL-LOWE-HS</x:v>
      </x:c>
      <x:c r="B7" s="185" t="str">
        <x:v>Low-E複層 グリーン（高遮熱仕様）</x:v>
      </x:c>
      <x:c r="C7" s="185" t="str">
        <x:v>LOW_E_DOUBLE</x:v>
      </x:c>
      <x:c r="D7" s="185" t="str">
        <x:v>アルゴン/乾燥空気</x:v>
      </x:c>
      <x:c r="E7" s="185" t="str">
        <x:v>樹脂/アルミ</x:v>
      </x:c>
      <x:c r="F7" s="185" t="str">
        <x:v>全窓種</x:v>
      </x:c>
      <x:c r="G7" s="185" t="str">
        <x:v>COMPLETE</x:v>
      </x:c>
      <x:c r="H7" s="186" t="str">
        <x:v>BATH-EV-004,010</x:v>
      </x:c>
    </x:row>
    <x:row r="8">
      <x:c r="A8" s="184" t="str">
        <x:v>BATH-GL-LOWE-BRONZE</x:v>
      </x:c>
      <x:c r="B8" s="185" t="str">
        <x:v>Low-E複層 ブロンズ</x:v>
      </x:c>
      <x:c r="C8" s="185" t="str">
        <x:v>LOW_E_DOUBLE</x:v>
      </x:c>
      <x:c r="D8" s="185" t="str">
        <x:v>アルゴン/乾燥空気</x:v>
      </x:c>
      <x:c r="E8" s="185" t="str">
        <x:v>樹脂/アルミ</x:v>
      </x:c>
      <x:c r="F8" s="185" t="str">
        <x:v>北海道・東北限定</x:v>
      </x:c>
      <x:c r="G8" s="185" t="str">
        <x:v>COMPLETE</x:v>
      </x:c>
      <x:c r="H8" s="186" t="str">
        <x:v>BATH-EV-010</x:v>
      </x:c>
    </x:row>
    <x:row r="9">
      <x:c r="A9" s="184" t="str">
        <x:v>BATH-GL-T-CC</x:v>
      </x:c>
      <x:c r="B9" s="185" t="str">
        <x:v>トリプル クリア×クリア</x:v>
      </x:c>
      <x:c r="C9" s="185" t="str">
        <x:v>TRIPLE</x:v>
      </x:c>
      <x:c r="D9" s="185" t="str">
        <x:v>クリプトン/アルゴン</x:v>
      </x:c>
      <x:c r="E9" s="185" t="str">
        <x:v>樹脂</x:v>
      </x:c>
      <x:c r="F9" s="185" t="str">
        <x:v>上げ下げ窓FSのみ</x:v>
      </x:c>
      <x:c r="G9" s="185" t="str">
        <x:v>COMPLETE</x:v>
      </x:c>
      <x:c r="H9" s="186" t="str">
        <x:v>BATH-EV-004,010</x:v>
      </x:c>
    </x:row>
    <x:row r="10">
      <x:c r="A10" s="184" t="str">
        <x:v>BATH-GL-T-GG</x:v>
      </x:c>
      <x:c r="B10" s="185" t="str">
        <x:v>トリプル グリーン×グリーン</x:v>
      </x:c>
      <x:c r="C10" s="185" t="str">
        <x:v>TRIPLE</x:v>
      </x:c>
      <x:c r="D10" s="185" t="str">
        <x:v>クリプトン/アルゴン</x:v>
      </x:c>
      <x:c r="E10" s="185" t="str">
        <x:v>樹脂</x:v>
      </x:c>
      <x:c r="F10" s="185" t="str">
        <x:v>上げ下げ窓FSのみ</x:v>
      </x:c>
      <x:c r="G10" s="185" t="str">
        <x:v>COMPLETE</x:v>
      </x:c>
      <x:c r="H10" s="186" t="str">
        <x:v>BATH-EV-004,010</x:v>
      </x:c>
    </x:row>
    <x:row r="11">
      <x:c r="A11" s="184" t="str">
        <x:v>BATH-GL-T-CG</x:v>
      </x:c>
      <x:c r="B11" s="185" t="str">
        <x:v>トリプル クリア×グリーン</x:v>
      </x:c>
      <x:c r="C11" s="185" t="str">
        <x:v>TRIPLE</x:v>
      </x:c>
      <x:c r="D11" s="185" t="str">
        <x:v>クリプトン/アルゴン</x:v>
      </x:c>
      <x:c r="E11" s="185" t="str">
        <x:v>樹脂</x:v>
      </x:c>
      <x:c r="F11" s="185" t="str">
        <x:v>上げ下げ窓FSのみ</x:v>
      </x:c>
      <x:c r="G11" s="185" t="str">
        <x:v>COMPLETE</x:v>
      </x:c>
      <x:c r="H11" s="186" t="str">
        <x:v>BATH-EV-010</x:v>
      </x:c>
    </x:row>
    <x:row r="12">
      <x:c r="A12" s="184" t="str">
        <x:v>BATH-GL-T-CB</x:v>
      </x:c>
      <x:c r="B12" s="185" t="str">
        <x:v>トリプル クリア×ブロンズ</x:v>
      </x:c>
      <x:c r="C12" s="185" t="str">
        <x:v>TRIPLE</x:v>
      </x:c>
      <x:c r="D12" s="185" t="str">
        <x:v>クリプトン/アルゴン</x:v>
      </x:c>
      <x:c r="E12" s="185" t="str">
        <x:v>樹脂</x:v>
      </x:c>
      <x:c r="F12" s="185" t="str">
        <x:v>上げ下げFS・北海道東北限定</x:v>
      </x:c>
      <x:c r="G12" s="185" t="str">
        <x:v>COMPLETE</x:v>
      </x:c>
      <x:c r="H12" s="186" t="str">
        <x:v>BATH-EV-010</x:v>
      </x:c>
    </x:row>
    <x:row r="13">
      <x:c r="A13" s="184" t="str">
        <x:v>BATH-GL-T-GENERAL-CLEAR</x:v>
      </x:c>
      <x:c r="B13" s="185" t="str">
        <x:v>トリプル 一般×クリア</x:v>
      </x:c>
      <x:c r="C13" s="185" t="str">
        <x:v>TRIPLE</x:v>
      </x:c>
      <x:c r="D13" s="185" t="str">
        <x:v>クリプトン/アルゴン</x:v>
      </x:c>
      <x:c r="E13" s="185" t="str">
        <x:v>樹脂</x:v>
      </x:c>
      <x:c r="F13" s="185" t="str">
        <x:v>上げ下げFS・見積確認</x:v>
      </x:c>
      <x:c r="G13" s="185" t="str">
        <x:v>COMPLETE_WITH_EXTERNAL_CHECK</x:v>
      </x:c>
      <x:c r="H13" s="186" t="str">
        <x:v>BATH-EV-010</x:v>
      </x:c>
    </x:row>
    <x:row r="14">
      <x:c r="A14" s="184" t="str">
        <x:v>BATH-FUNC-FROST</x:v>
      </x:c>
      <x:c r="B14" s="185" t="str">
        <x:v>フロスト/型板</x:v>
      </x:c>
      <x:c r="C14" s="185" t="str">
        <x:v>GLASS_FUNCTION</x:v>
      </x:c>
      <x:c r="D14" s="185" t="str">
        <x:v>—</x:v>
      </x:c>
      <x:c r="E14" s="185" t="str">
        <x:v>—</x:v>
      </x:c>
      <x:c r="F14" s="185" t="str">
        <x:v>対応範囲内</x:v>
      </x:c>
      <x:c r="G14" s="185" t="str">
        <x:v>COMPLETE</x:v>
      </x:c>
      <x:c r="H14" s="186" t="str">
        <x:v>BATH-EV-005,010</x:v>
      </x:c>
    </x:row>
    <x:row r="15">
      <x:c r="A15" s="184" t="str">
        <x:v>BATH-FUNC-SAFETY</x:v>
      </x:c>
      <x:c r="B15" s="185" t="str">
        <x:v>安全合わせ 透明</x:v>
      </x:c>
      <x:c r="C15" s="185" t="str">
        <x:v>GLASS_FUNCTION</x:v>
      </x:c>
      <x:c r="D15" s="185" t="str">
        <x:v>—</x:v>
      </x:c>
      <x:c r="E15" s="185" t="str">
        <x:v>—</x:v>
      </x:c>
      <x:c r="F15" s="185" t="str">
        <x:v>対応範囲内</x:v>
      </x:c>
      <x:c r="G15" s="185" t="str">
        <x:v>COMPLETE_WITH_EXTERNAL_CHECK</x:v>
      </x:c>
      <x:c r="H15" s="186" t="str">
        <x:v>BATH-EV-005,010,012</x:v>
      </x:c>
    </x:row>
    <x:row r="16">
      <x:c r="A16" s="184" t="str">
        <x:v>BATH-FUNC-SAFETY-WHITE</x:v>
      </x:c>
      <x:c r="B16" s="185" t="str">
        <x:v>安全合わせ 乳白</x:v>
      </x:c>
      <x:c r="C16" s="185" t="str">
        <x:v>GLASS_FUNCTION</x:v>
      </x:c>
      <x:c r="D16" s="185" t="str">
        <x:v>—</x:v>
      </x:c>
      <x:c r="E16" s="185" t="str">
        <x:v>—</x:v>
      </x:c>
      <x:c r="F16" s="185" t="str">
        <x:v>対応範囲内</x:v>
      </x:c>
      <x:c r="G16" s="185" t="str">
        <x:v>COMPLETE_WITH_EXTERNAL_CHECK</x:v>
      </x:c>
      <x:c r="H16" s="186" t="str">
        <x:v>BATH-EV-005,010,012</x:v>
      </x:c>
    </x:row>
    <x:row r="17">
      <x:c r="A17" s="184" t="str">
        <x:v>BATH-FUNC-DISASTER</x:v>
      </x:c>
      <x:c r="B17" s="185" t="str">
        <x:v>防災安全合わせ</x:v>
      </x:c>
      <x:c r="C17" s="185" t="str">
        <x:v>GLASS_FUNCTION</x:v>
      </x:c>
      <x:c r="D17" s="185" t="str">
        <x:v>—</x:v>
      </x:c>
      <x:c r="E17" s="185" t="str">
        <x:v>—</x:v>
      </x:c>
      <x:c r="F17" s="185" t="str">
        <x:v>対応範囲内</x:v>
      </x:c>
      <x:c r="G17" s="185" t="str">
        <x:v>COMPLETE_WITH_EXTERNAL_CHECK</x:v>
      </x:c>
      <x:c r="H17" s="186" t="str">
        <x:v>BATH-EV-010,012</x:v>
      </x:c>
    </x:row>
    <x:row r="18">
      <x:c r="A18" s="187" t="str">
        <x:v>BATH-FUNC-GRID</x:v>
      </x:c>
      <x:c r="B18" s="188" t="str">
        <x:v>格子入り</x:v>
      </x:c>
      <x:c r="C18" s="188" t="str">
        <x:v>GLASS_FUNCTION</x:v>
      </x:c>
      <x:c r="D18" s="188" t="str">
        <x:v>—</x:v>
      </x:c>
      <x:c r="E18" s="188" t="str">
        <x:v>—</x:v>
      </x:c>
      <x:c r="F18" s="188" t="str">
        <x:v>対応範囲内</x:v>
      </x:c>
      <x:c r="G18" s="188" t="str">
        <x:v>COMPLETE_WITH_EXTERNAL_CHECK</x:v>
      </x:c>
      <x:c r="H18" s="189" t="str">
        <x:v>BATH-EV-010,012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0" hidden="0" customWidth="1"/>
    <x:col min="4" max="4" width="14" hidden="0" customWidth="1"/>
    <x:col min="5" max="5" width="52" hidden="0" customWidth="1"/>
    <x:col min="6" max="6" width="24" hidden="0" customWidth="1"/>
    <x:col min="7" max="7" width="56" hidden="0" customWidth="1"/>
    <x:col min="8" max="8" width="30" hidden="0" customWidth="1"/>
    <x:col min="9" max="9" width="22" hidden="0" customWidth="1"/>
  </x:cols>
  <x:sheetData>
    <x:row r="1" ht="28" customHeight="1">
      <x:c r="A1" s="178" t="str">
        <x:v>08A_ガラス適用条件｜浴室仕様</x:v>
      </x:c>
      <x:c r="B1" s="178"/>
      <x:c r="C1" s="178"/>
      <x:c r="D1" s="178"/>
      <x:c r="E1" s="178"/>
      <x:c r="F1" s="178"/>
      <x:c r="G1" s="178"/>
      <x:c r="H1" s="178"/>
      <x:c r="I1" s="178"/>
    </x:row>
    <x:row r="3" ht="30" customHeight="1">
      <x:c r="A3" s="181" t="str">
        <x:v>rule_id</x:v>
      </x:c>
      <x:c r="B3" s="182" t="str">
        <x:v>window_scope</x:v>
      </x:c>
      <x:c r="C3" s="182" t="str">
        <x:v>glass_scope</x:v>
      </x:c>
      <x:c r="D3" s="182" t="str">
        <x:v>selectable</x:v>
      </x:c>
      <x:c r="E3" s="182" t="str">
        <x:v>condition</x:v>
      </x:c>
      <x:c r="F3" s="182" t="str">
        <x:v>ui_action</x:v>
      </x:c>
      <x:c r="G3" s="182" t="str">
        <x:v>note</x:v>
      </x:c>
      <x:c r="H3" s="182" t="str">
        <x:v>status</x:v>
      </x:c>
      <x:c r="I3" s="183" t="str">
        <x:v>evidence</x:v>
      </x:c>
    </x:row>
    <x:row r="4">
      <x:c r="A4" s="184" t="str">
        <x:v>BATH-GC-001</x:v>
      </x:c>
      <x:c r="B4" s="185" t="str">
        <x:v>ALL</x:v>
      </x:c>
      <x:c r="C4" s="185" t="str">
        <x:v>BATH-GL-GENERAL</x:v>
      </x:c>
      <x:c r="D4" s="201" t="b">
        <x:v>1</x:v>
      </x:c>
      <x:c r="E4" s="185" t="str">
        <x:v>frame_type=BATH-STD</x:v>
      </x:c>
      <x:c r="F4" s="185" t="str">
        <x:v>SHOW</x:v>
      </x:c>
      <x:c r="G4" s="185" t="str">
        <x:v>標準枠のみ</x:v>
      </x:c>
      <x:c r="H4" s="185" t="str">
        <x:v>COMPLETE</x:v>
      </x:c>
      <x:c r="I4" s="186" t="str">
        <x:v>BATH-EV-010</x:v>
      </x:c>
    </x:row>
    <x:row r="5">
      <x:c r="A5" s="184" t="str">
        <x:v>BATH-GC-002</x:v>
      </x:c>
      <x:c r="B5" s="185" t="str">
        <x:v>ALL</x:v>
      </x:c>
      <x:c r="C5" s="185" t="str">
        <x:v>BATH-GL-GENERAL</x:v>
      </x:c>
      <x:c r="D5" s="201" t="b">
        <x:v>0</x:v>
      </x:c>
      <x:c r="E5" s="185" t="str">
        <x:v>frame_type=BATH-BRG</x:v>
      </x:c>
      <x:c r="F5" s="185" t="str">
        <x:v>HIDE</x:v>
      </x:c>
      <x:c r="G5" s="185" t="str">
        <x:v>ブリッジ枠は樹脂スペーサーのみ</x:v>
      </x:c>
      <x:c r="H5" s="185" t="str">
        <x:v>COMPLETE</x:v>
      </x:c>
      <x:c r="I5" s="186" t="str">
        <x:v>BATH-EV-010</x:v>
      </x:c>
    </x:row>
    <x:row r="6">
      <x:c r="A6" s="184" t="str">
        <x:v>BATH-GC-003</x:v>
      </x:c>
      <x:c r="B6" s="185" t="str">
        <x:v>ALL</x:v>
      </x:c>
      <x:c r="C6" s="185" t="str">
        <x:v>LOW_E_DOUBLE</x:v>
      </x:c>
      <x:c r="D6" s="201" t="b">
        <x:v>1</x:v>
      </x:c>
      <x:c r="E6" s="185" t="str">
        <x:v>gas=ARGON</x:v>
      </x:c>
      <x:c r="F6" s="185" t="str">
        <x:v>FILTER</x:v>
      </x:c>
      <x:c r="G6" s="185" t="str">
        <x:v>樹脂/アルミ可。樹脂はアルゴン時のみ</x:v>
      </x:c>
      <x:c r="H6" s="185" t="str">
        <x:v>COMPLETE</x:v>
      </x:c>
      <x:c r="I6" s="186" t="str">
        <x:v>BATH-EV-010</x:v>
      </x:c>
    </x:row>
    <x:row r="7">
      <x:c r="A7" s="184" t="str">
        <x:v>BATH-GC-004</x:v>
      </x:c>
      <x:c r="B7" s="185" t="str">
        <x:v>ALL</x:v>
      </x:c>
      <x:c r="C7" s="185" t="str">
        <x:v>LOW_E_DOUBLE</x:v>
      </x:c>
      <x:c r="D7" s="201" t="b">
        <x:v>1</x:v>
      </x:c>
      <x:c r="E7" s="185" t="str">
        <x:v>gas=DRY_AIR</x:v>
      </x:c>
      <x:c r="F7" s="185" t="str">
        <x:v>FILTER</x:v>
      </x:c>
      <x:c r="G7" s="185" t="str">
        <x:v>アルミスペーサー</x:v>
      </x:c>
      <x:c r="H7" s="185" t="str">
        <x:v>COMPLETE</x:v>
      </x:c>
      <x:c r="I7" s="186" t="str">
        <x:v>BATH-EV-010</x:v>
      </x:c>
    </x:row>
    <x:row r="8">
      <x:c r="A8" s="184" t="str">
        <x:v>BATH-GC-005</x:v>
      </x:c>
      <x:c r="B8" s="185" t="str">
        <x:v>ALL</x:v>
      </x:c>
      <x:c r="C8" s="185" t="str">
        <x:v>LOW_E_DOUBLE</x:v>
      </x:c>
      <x:c r="D8" s="201" t="b">
        <x:v>1</x:v>
      </x:c>
      <x:c r="E8" s="185" t="str">
        <x:v>frame_type=BATH-BRG</x:v>
      </x:c>
      <x:c r="F8" s="185" t="str">
        <x:v>AUTO_RESOLVED</x:v>
      </x:c>
      <x:c r="G8" s="185" t="str">
        <x:v>樹脂スペーサー固定</x:v>
      </x:c>
      <x:c r="H8" s="185" t="str">
        <x:v>COMPLETE</x:v>
      </x:c>
      <x:c r="I8" s="186" t="str">
        <x:v>BATH-EV-010</x:v>
      </x:c>
    </x:row>
    <x:row r="9">
      <x:c r="A9" s="184" t="str">
        <x:v>BATH-GC-006</x:v>
      </x:c>
      <x:c r="B9" s="185" t="str">
        <x:v>RPL_BATH_DHFS</x:v>
      </x:c>
      <x:c r="C9" s="185" t="str">
        <x:v>TRIPLE</x:v>
      </x:c>
      <x:c r="D9" s="201" t="b">
        <x:v>1</x:v>
      </x:c>
      <x:c r="E9" s="185" t="str">
        <x:v>window_type=DHFS</x:v>
      </x:c>
      <x:c r="F9" s="185" t="str">
        <x:v>SHOW</x:v>
      </x:c>
      <x:c r="G9" s="185" t="str">
        <x:v>DHFSのみ</x:v>
      </x:c>
      <x:c r="H9" s="185" t="str">
        <x:v>COMPLETE</x:v>
      </x:c>
      <x:c r="I9" s="186" t="str">
        <x:v>BATH-EV-004,010</x:v>
      </x:c>
    </x:row>
    <x:row r="10">
      <x:c r="A10" s="184" t="str">
        <x:v>BATH-GC-007</x:v>
      </x:c>
      <x:c r="B10" s="185" t="str">
        <x:v>EXCEPT_DHFS</x:v>
      </x:c>
      <x:c r="C10" s="185" t="str">
        <x:v>TRIPLE</x:v>
      </x:c>
      <x:c r="D10" s="201" t="b">
        <x:v>0</x:v>
      </x:c>
      <x:c r="E10" s="185" t="str">
        <x:v>window_type!=DHFS</x:v>
      </x:c>
      <x:c r="F10" s="185" t="str">
        <x:v>HIDE</x:v>
      </x:c>
      <x:c r="G10" s="185" t="str">
        <x:v>他窓種はトリプル非表示</x:v>
      </x:c>
      <x:c r="H10" s="185" t="str">
        <x:v>COMPLETE</x:v>
      </x:c>
      <x:c r="I10" s="186" t="str">
        <x:v>BATH-EV-004</x:v>
      </x:c>
    </x:row>
    <x:row r="11">
      <x:c r="A11" s="184" t="str">
        <x:v>BATH-GC-008</x:v>
      </x:c>
      <x:c r="B11" s="185" t="str">
        <x:v>ALL</x:v>
      </x:c>
      <x:c r="C11" s="185" t="str">
        <x:v>BATH-GL-LOWE-BRONZE</x:v>
      </x:c>
      <x:c r="D11" s="201" t="b">
        <x:v>1</x:v>
      </x:c>
      <x:c r="E11" s="185" t="str">
        <x:v>region=北海道/東北</x:v>
      </x:c>
      <x:c r="F11" s="185" t="str">
        <x:v>SHOW_IF_ALLOWED</x:v>
      </x:c>
      <x:c r="G11" s="185" t="str">
        <x:v>地域限定</x:v>
      </x:c>
      <x:c r="H11" s="185" t="str">
        <x:v>COMPLETE</x:v>
      </x:c>
      <x:c r="I11" s="186" t="str">
        <x:v>BATH-EV-010</x:v>
      </x:c>
    </x:row>
    <x:row r="12">
      <x:c r="A12" s="187" t="str">
        <x:v>BATH-GC-009</x:v>
      </x:c>
      <x:c r="B12" s="188" t="str">
        <x:v>RPL_BATH_DHFS</x:v>
      </x:c>
      <x:c r="C12" s="188" t="str">
        <x:v>BATH-GL-T-CB</x:v>
      </x:c>
      <x:c r="D12" s="202" t="b">
        <x:v>1</x:v>
      </x:c>
      <x:c r="E12" s="188" t="str">
        <x:v>region=北海道/東北</x:v>
      </x:c>
      <x:c r="F12" s="188" t="str">
        <x:v>SHOW_IF_ALLOWED</x:v>
      </x:c>
      <x:c r="G12" s="188" t="str">
        <x:v>地域限定</x:v>
      </x:c>
      <x:c r="H12" s="188" t="str">
        <x:v>COMPLETE</x:v>
      </x:c>
      <x:c r="I12" s="189" t="str">
        <x:v>BATH-EV-010</x:v>
      </x:c>
    </x:row>
    <x:row r="13">
      <x:c r="A13" s="144"/>
      <x:c r="B13" s="145"/>
      <x:c r="C13" s="145"/>
      <x:c r="D13" s="145"/>
      <x:c r="E13" s="145"/>
      <x:c r="F13" s="145"/>
      <x:c r="G13" s="145"/>
      <x:c r="H13" s="146"/>
    </x:row>
    <x:row r="14">
      <x:c r="A14" s="144"/>
      <x:c r="B14" s="145"/>
      <x:c r="C14" s="145"/>
      <x:c r="D14" s="145"/>
      <x:c r="E14" s="145"/>
      <x:c r="F14" s="145"/>
      <x:c r="G14" s="145"/>
      <x:c r="H14" s="146"/>
    </x:row>
    <x:row r="15">
      <x:c r="A15" s="144"/>
      <x:c r="B15" s="145"/>
      <x:c r="C15" s="145"/>
      <x:c r="D15" s="145"/>
      <x:c r="E15" s="145"/>
      <x:c r="F15" s="145"/>
      <x:c r="G15" s="145"/>
      <x:c r="H15" s="146"/>
    </x:row>
    <x:row r="16">
      <x:c r="A16" s="144"/>
      <x:c r="B16" s="145"/>
      <x:c r="C16" s="145"/>
      <x:c r="D16" s="145"/>
      <x:c r="E16" s="145"/>
      <x:c r="F16" s="145"/>
      <x:c r="G16" s="145"/>
      <x:c r="H16" s="146"/>
    </x:row>
    <x:row r="17">
      <x:c r="A17" s="144"/>
      <x:c r="B17" s="145"/>
      <x:c r="C17" s="145"/>
      <x:c r="D17" s="145"/>
      <x:c r="E17" s="145"/>
      <x:c r="F17" s="145"/>
      <x:c r="G17" s="145"/>
      <x:c r="H17" s="146"/>
    </x:row>
    <x:row r="18">
      <x:c r="A18" s="144"/>
      <x:c r="B18" s="145"/>
      <x:c r="C18" s="145"/>
      <x:c r="D18" s="145"/>
      <x:c r="E18" s="145"/>
      <x:c r="F18" s="145"/>
      <x:c r="G18" s="145"/>
      <x:c r="H18" s="146"/>
    </x:row>
    <x:row r="19">
      <x:c r="A19" s="144"/>
      <x:c r="B19" s="145"/>
      <x:c r="C19" s="145"/>
      <x:c r="D19" s="145"/>
      <x:c r="E19" s="145"/>
      <x:c r="F19" s="145"/>
      <x:c r="G19" s="145"/>
      <x:c r="H19" s="146"/>
    </x:row>
    <x:row r="20">
      <x:c r="A20" s="144"/>
      <x:c r="B20" s="145"/>
      <x:c r="C20" s="145"/>
      <x:c r="D20" s="145"/>
      <x:c r="E20" s="145"/>
      <x:c r="F20" s="145"/>
      <x:c r="G20" s="145"/>
      <x:c r="H20" s="146"/>
    </x:row>
    <x:row r="21">
      <x:c r="A21" s="144"/>
      <x:c r="B21" s="145"/>
      <x:c r="C21" s="145"/>
      <x:c r="D21" s="145"/>
      <x:c r="E21" s="145"/>
      <x:c r="F21" s="145"/>
      <x:c r="G21" s="145"/>
      <x:c r="H21" s="146"/>
    </x:row>
    <x:row r="22">
      <x:c r="A22" s="144"/>
      <x:c r="B22" s="145"/>
      <x:c r="C22" s="145"/>
      <x:c r="D22" s="145"/>
      <x:c r="E22" s="145"/>
      <x:c r="F22" s="145"/>
      <x:c r="G22" s="145"/>
      <x:c r="H22" s="146"/>
    </x:row>
    <x:row r="23">
      <x:c r="A23" s="144"/>
      <x:c r="B23" s="145"/>
      <x:c r="C23" s="145"/>
      <x:c r="D23" s="145"/>
      <x:c r="E23" s="145"/>
      <x:c r="F23" s="145"/>
      <x:c r="G23" s="145"/>
      <x:c r="H23" s="146"/>
    </x:row>
    <x:row r="24">
      <x:c r="A24" s="144"/>
      <x:c r="B24" s="145"/>
      <x:c r="C24" s="145"/>
      <x:c r="D24" s="145"/>
      <x:c r="E24" s="145"/>
      <x:c r="F24" s="145"/>
      <x:c r="G24" s="145"/>
      <x:c r="H24" s="146"/>
    </x:row>
    <x:row r="25">
      <x:c r="A25" s="144"/>
      <x:c r="B25" s="145"/>
      <x:c r="C25" s="145"/>
      <x:c r="D25" s="145"/>
      <x:c r="E25" s="145"/>
      <x:c r="F25" s="145"/>
      <x:c r="G25" s="145"/>
      <x:c r="H25" s="146"/>
    </x:row>
    <x:row r="26">
      <x:c r="A26" s="144"/>
      <x:c r="B26" s="145"/>
      <x:c r="C26" s="145"/>
      <x:c r="D26" s="145"/>
      <x:c r="E26" s="145"/>
      <x:c r="F26" s="145"/>
      <x:c r="G26" s="145"/>
      <x:c r="H26" s="146"/>
    </x:row>
    <x:row r="27">
      <x:c r="A27" s="144"/>
      <x:c r="B27" s="145"/>
      <x:c r="C27" s="145"/>
      <x:c r="D27" s="145"/>
      <x:c r="E27" s="145"/>
      <x:c r="F27" s="145"/>
      <x:c r="G27" s="145"/>
      <x:c r="H27" s="146"/>
    </x:row>
    <x:row r="28">
      <x:c r="A28" s="144"/>
      <x:c r="B28" s="145"/>
      <x:c r="C28" s="145"/>
      <x:c r="D28" s="145"/>
      <x:c r="E28" s="145"/>
      <x:c r="F28" s="145"/>
      <x:c r="G28" s="145"/>
      <x:c r="H28" s="146"/>
    </x:row>
    <x:row r="29">
      <x:c r="A29" s="144"/>
      <x:c r="B29" s="145"/>
      <x:c r="C29" s="145"/>
      <x:c r="D29" s="145"/>
      <x:c r="E29" s="145"/>
      <x:c r="F29" s="145"/>
      <x:c r="G29" s="145"/>
      <x:c r="H29" s="146"/>
    </x:row>
    <x:row r="30">
      <x:c r="A30" s="144"/>
      <x:c r="B30" s="145"/>
      <x:c r="C30" s="145"/>
      <x:c r="D30" s="145"/>
      <x:c r="E30" s="145"/>
      <x:c r="F30" s="145"/>
      <x:c r="G30" s="145"/>
      <x:c r="H30" s="146"/>
    </x:row>
    <x:row r="31">
      <x:c r="A31" s="144"/>
      <x:c r="B31" s="145"/>
      <x:c r="C31" s="145"/>
      <x:c r="D31" s="145"/>
      <x:c r="E31" s="145"/>
      <x:c r="F31" s="145"/>
      <x:c r="G31" s="145"/>
      <x:c r="H31" s="146"/>
    </x:row>
    <x:row r="32">
      <x:c r="A32" s="144"/>
      <x:c r="B32" s="145"/>
      <x:c r="C32" s="145"/>
      <x:c r="D32" s="145"/>
      <x:c r="E32" s="145"/>
      <x:c r="F32" s="145"/>
      <x:c r="G32" s="145"/>
      <x:c r="H32" s="146"/>
    </x:row>
    <x:row r="33">
      <x:c r="A33" s="144"/>
      <x:c r="B33" s="145"/>
      <x:c r="C33" s="145"/>
      <x:c r="D33" s="145"/>
      <x:c r="E33" s="145"/>
      <x:c r="F33" s="145"/>
      <x:c r="G33" s="145"/>
      <x:c r="H33" s="146"/>
    </x:row>
    <x:row r="34">
      <x:c r="A34" s="144"/>
      <x:c r="B34" s="145"/>
      <x:c r="C34" s="145"/>
      <x:c r="D34" s="145"/>
      <x:c r="E34" s="145"/>
      <x:c r="F34" s="145"/>
      <x:c r="G34" s="145"/>
      <x:c r="H34" s="146"/>
    </x:row>
    <x:row r="35">
      <x:c r="A35" s="144"/>
      <x:c r="B35" s="145"/>
      <x:c r="C35" s="145"/>
      <x:c r="D35" s="145"/>
      <x:c r="E35" s="145"/>
      <x:c r="F35" s="145"/>
      <x:c r="G35" s="145"/>
      <x:c r="H35" s="146"/>
    </x:row>
    <x:row r="36">
      <x:c r="A36" s="144"/>
      <x:c r="B36" s="145"/>
      <x:c r="C36" s="145"/>
      <x:c r="D36" s="145"/>
      <x:c r="E36" s="145"/>
      <x:c r="F36" s="145"/>
      <x:c r="G36" s="145"/>
      <x:c r="H36" s="146"/>
    </x:row>
    <x:row r="37">
      <x:c r="A37" s="144"/>
      <x:c r="B37" s="145"/>
      <x:c r="C37" s="145"/>
      <x:c r="D37" s="145"/>
      <x:c r="E37" s="145"/>
      <x:c r="F37" s="145"/>
      <x:c r="G37" s="145"/>
      <x:c r="H37" s="146"/>
    </x:row>
    <x:row r="38">
      <x:c r="A38" s="144"/>
      <x:c r="B38" s="145"/>
      <x:c r="C38" s="145"/>
      <x:c r="D38" s="145"/>
      <x:c r="E38" s="145"/>
      <x:c r="F38" s="145"/>
      <x:c r="G38" s="145"/>
      <x:c r="H38" s="146"/>
    </x:row>
    <x:row r="39">
      <x:c r="A39" s="144"/>
      <x:c r="B39" s="145"/>
      <x:c r="C39" s="145"/>
      <x:c r="D39" s="145"/>
      <x:c r="E39" s="145"/>
      <x:c r="F39" s="145"/>
      <x:c r="G39" s="145"/>
      <x:c r="H39" s="146"/>
    </x:row>
    <x:row r="40">
      <x:c r="A40" s="144"/>
      <x:c r="B40" s="145"/>
      <x:c r="C40" s="145"/>
      <x:c r="D40" s="145"/>
      <x:c r="E40" s="145"/>
      <x:c r="F40" s="145"/>
      <x:c r="G40" s="145"/>
      <x:c r="H40" s="146"/>
    </x:row>
    <x:row r="41">
      <x:c r="A41" s="144"/>
      <x:c r="B41" s="145"/>
      <x:c r="C41" s="145"/>
      <x:c r="D41" s="145"/>
      <x:c r="E41" s="145"/>
      <x:c r="F41" s="145"/>
      <x:c r="G41" s="145"/>
      <x:c r="H41" s="146"/>
    </x:row>
    <x:row r="42">
      <x:c r="A42" s="147"/>
      <x:c r="B42" s="148"/>
      <x:c r="C42" s="148"/>
      <x:c r="D42" s="148"/>
      <x:c r="E42" s="148"/>
      <x:c r="F42" s="148"/>
      <x:c r="G42" s="148"/>
      <x:c r="H42" s="149"/>
    </x:row>
  </x:sheetData>
  <x:mergeCells>
    <x:mergeCell ref="A1:H1"/>
    <x:mergeCell ref="A1:I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2" hidden="0" customWidth="1"/>
    <x:col min="3" max="3" width="22" hidden="0" customWidth="1"/>
    <x:col min="4" max="4" width="30" hidden="0" customWidth="1"/>
    <x:col min="5" max="5" width="68" hidden="0" customWidth="1"/>
    <x:col min="6" max="6" width="30" hidden="0" customWidth="1"/>
    <x:col min="7" max="7" width="22" hidden="0" customWidth="1"/>
    <x:col min="8" max="8" width="16" hidden="0" customWidth="1"/>
  </x:cols>
  <x:sheetData>
    <x:row r="1" ht="28" customHeight="1">
      <x:c r="A1" s="178" t="str">
        <x:v>09_その他OP｜浴室仕様</x:v>
      </x:c>
      <x:c r="B1" s="178"/>
      <x:c r="C1" s="178"/>
      <x:c r="D1" s="178"/>
      <x:c r="E1" s="178"/>
      <x:c r="F1" s="178"/>
      <x:c r="G1" s="178"/>
      <x:c r="H1" s="4"/>
    </x:row>
    <x:row r="3" ht="30" customHeight="1">
      <x:c r="A3" s="181" t="str">
        <x:v>option_id</x:v>
      </x:c>
      <x:c r="B3" s="182" t="str">
        <x:v>公式名称</x:v>
      </x:c>
      <x:c r="C3" s="182" t="str">
        <x:v>分類</x:v>
      </x:c>
      <x:c r="D3" s="182" t="str">
        <x:v>selection_role</x:v>
      </x:c>
      <x:c r="E3" s="182" t="str">
        <x:v>主要条件</x:v>
      </x:c>
      <x:c r="F3" s="182" t="str">
        <x:v>status</x:v>
      </x:c>
      <x:c r="G3" s="183" t="str">
        <x:v>evidence</x:v>
      </x:c>
      <x:c r="H3" s="34"/>
    </x:row>
    <x:row r="4">
      <x:c r="A4" s="184" t="str">
        <x:v>BATH-OP-UPPER-BASE</x:v>
      </x:c>
      <x:c r="B4" s="185" t="str">
        <x:v>既設上枠ベース材</x:v>
      </x:c>
      <x:c r="C4" s="185" t="str">
        <x:v>施工部材</x:v>
      </x:c>
      <x:c r="D4" s="185" t="str">
        <x:v>CONDITIONAL_REQUIRED</x:v>
      </x:c>
      <x:c r="E4" s="185" t="str">
        <x:v>内嵌め施工</x:v>
      </x:c>
      <x:c r="F4" s="185" t="str">
        <x:v>COMPLETE</x:v>
      </x:c>
      <x:c r="G4" s="186" t="str">
        <x:v>BATH-EV-005,009</x:v>
      </x:c>
      <x:c r="H4" s="37"/>
    </x:row>
    <x:row r="5">
      <x:c r="A5" s="184" t="str">
        <x:v>BATH-OP-ANGLE-NOMITER</x:v>
      </x:c>
      <x:c r="B5" s="185" t="str">
        <x:v>樹脂アングルカバー（見切材無）</x:v>
      </x:c>
      <x:c r="C5" s="185" t="str">
        <x:v>室内部材</x:v>
      </x:c>
      <x:c r="D5" s="185" t="str">
        <x:v>CONDITIONAL_REQUIRED</x:v>
      </x:c>
      <x:c r="E5" s="185" t="str">
        <x:v>WINDOW_ONLY</x:v>
      </x:c>
      <x:c r="F5" s="185" t="str">
        <x:v>COMPLETE</x:v>
      </x:c>
      <x:c r="G5" s="186" t="str">
        <x:v>BATH-EV-003,005</x:v>
      </x:c>
      <x:c r="H5" s="37"/>
    </x:row>
    <x:row r="6">
      <x:c r="A6" s="184" t="str">
        <x:v>BATH-OP-CASING</x:v>
      </x:c>
      <x:c r="B6" s="185" t="str">
        <x:v>カバー用ケーシング</x:v>
      </x:c>
      <x:c r="C6" s="185" t="str">
        <x:v>室内部材</x:v>
      </x:c>
      <x:c r="D6" s="185" t="str">
        <x:v>USER_SELECT</x:v>
      </x:c>
      <x:c r="E6" s="185" t="str">
        <x:v>樹脂アングルと併用不可</x:v>
      </x:c>
      <x:c r="F6" s="185" t="str">
        <x:v>COMPLETE</x:v>
      </x:c>
      <x:c r="G6" s="186" t="str">
        <x:v>BATH-EV-011</x:v>
      </x:c>
      <x:c r="H6" s="37"/>
    </x:row>
    <x:row r="7">
      <x:c r="A7" s="184" t="str">
        <x:v>BATH-OP-SIDE-COVER</x:v>
      </x:c>
      <x:c r="B7" s="185" t="str">
        <x:v>サイド化粧カバー</x:v>
      </x:c>
      <x:c r="C7" s="185" t="str">
        <x:v>室外部材</x:v>
      </x:c>
      <x:c r="D7" s="185" t="str">
        <x:v>USER_SELECT</x:v>
      </x:c>
      <x:c r="E7" s="185" t="str">
        <x:v>対象納まり/W条件</x:v>
      </x:c>
      <x:c r="F7" s="185" t="str">
        <x:v>COMPLETE</x:v>
      </x:c>
      <x:c r="G7" s="186" t="str">
        <x:v>BATH-EV-011</x:v>
      </x:c>
      <x:c r="H7" s="37"/>
    </x:row>
    <x:row r="8">
      <x:c r="A8" s="184" t="str">
        <x:v>BATH-OP-DEPTH</x:v>
      </x:c>
      <x:c r="B8" s="185" t="str">
        <x:v>見込みふかし部材</x:v>
      </x:c>
      <x:c r="C8" s="185" t="str">
        <x:v>室内部材</x:v>
      </x:c>
      <x:c r="D8" s="185" t="str">
        <x:v>USER_SELECT</x:v>
      </x:c>
      <x:c r="E8" s="185" t="str">
        <x:v>標準枠のみ/条件</x:v>
      </x:c>
      <x:c r="F8" s="185" t="str">
        <x:v>COMPLETE</x:v>
      </x:c>
      <x:c r="G8" s="186" t="str">
        <x:v>BATH-EV-011</x:v>
      </x:c>
      <x:c r="H8" s="37"/>
    </x:row>
    <x:row r="9">
      <x:c r="A9" s="184" t="str">
        <x:v>BATH-OP-SMALL-STOP</x:v>
      </x:c>
      <x:c r="B9" s="185" t="str">
        <x:v>小開口ストッパー</x:v>
      </x:c>
      <x:c r="C9" s="185" t="str">
        <x:v>開口制限</x:v>
      </x:c>
      <x:c r="D9" s="185" t="str">
        <x:v>USER_SELECT</x:v>
      </x:c>
      <x:c r="E9" s="185" t="str">
        <x:v>引違い2枚建</x:v>
      </x:c>
      <x:c r="F9" s="185" t="str">
        <x:v>COMPLETE</x:v>
      </x:c>
      <x:c r="G9" s="186" t="str">
        <x:v>BATH-EV-011</x:v>
      </x:c>
      <x:c r="H9" s="37"/>
    </x:row>
    <x:row r="10">
      <x:c r="A10" s="184" t="str">
        <x:v>BATH-OP-SMART-CRESCENT</x:v>
      </x:c>
      <x:c r="B10" s="185" t="str">
        <x:v>スマートクレセント</x:v>
      </x:c>
      <x:c r="C10" s="185" t="str">
        <x:v>施錠</x:v>
      </x:c>
      <x:c r="D10" s="185" t="str">
        <x:v>NOT_APPLICABLE</x:v>
      </x:c>
      <x:c r="E10" s="185" t="str">
        <x:v>浴室等高温多湿で使用不可</x:v>
      </x:c>
      <x:c r="F10" s="185" t="str">
        <x:v>NOT_APPLICABLE</x:v>
      </x:c>
      <x:c r="G10" s="186" t="str">
        <x:v>BATH-EV-011</x:v>
      </x:c>
      <x:c r="H10" s="37"/>
    </x:row>
    <x:row r="11">
      <x:c r="A11" s="184" t="str">
        <x:v>BATH-OP-UPPER-VENT</x:v>
      </x:c>
      <x:c r="B11" s="185" t="str">
        <x:v>上枠一体換気部材</x:v>
      </x:c>
      <x:c r="C11" s="185" t="str">
        <x:v>換気</x:v>
      </x:c>
      <x:c r="D11" s="185" t="str">
        <x:v>USER_SELECT</x:v>
      </x:c>
      <x:c r="E11" s="185" t="str">
        <x:v>適用表による</x:v>
      </x:c>
      <x:c r="F11" s="185" t="str">
        <x:v>COMPLETE</x:v>
      </x:c>
      <x:c r="G11" s="186" t="str">
        <x:v>BATH-EV-011</x:v>
      </x:c>
      <x:c r="H11" s="37"/>
    </x:row>
    <x:row r="12">
      <x:c r="A12" s="184" t="str">
        <x:v>BATH-OP-FIX-GROOVE</x:v>
      </x:c>
      <x:c r="B12" s="185" t="str">
        <x:v>固定式網戸溝カバー</x:v>
      </x:c>
      <x:c r="C12" s="185" t="str">
        <x:v>網戸部材</x:v>
      </x:c>
      <x:c r="D12" s="185" t="str">
        <x:v>CONDITIONAL_REQUIRED</x:v>
      </x:c>
      <x:c r="E12" s="185" t="str">
        <x:v>VSOP/HSOPで固定式網戸なし</x:v>
      </x:c>
      <x:c r="F12" s="185" t="str">
        <x:v>COMPLETE</x:v>
      </x:c>
      <x:c r="G12" s="186" t="str">
        <x:v>BATH-EV-005,011</x:v>
      </x:c>
      <x:c r="H12" s="37"/>
    </x:row>
    <x:row r="13">
      <x:c r="A13" s="184" t="str">
        <x:v>BATH-OP-ROLL-SEAL</x:v>
      </x:c>
      <x:c r="B13" s="185" t="str">
        <x:v>網戸隙間防止シール</x:v>
      </x:c>
      <x:c r="C13" s="185" t="str">
        <x:v>網戸部材</x:v>
      </x:c>
      <x:c r="D13" s="185" t="str">
        <x:v>CONDITIONAL_REQUIRED</x:v>
      </x:c>
      <x:c r="E13" s="185" t="str">
        <x:v>段窓上部＋横引きロール</x:v>
      </x:c>
      <x:c r="F13" s="185" t="str">
        <x:v>COMPLETE</x:v>
      </x:c>
      <x:c r="G13" s="186" t="str">
        <x:v>BATH-EV-005</x:v>
      </x:c>
      <x:c r="H13" s="37"/>
    </x:row>
    <x:row r="14">
      <x:c r="A14" s="184" t="str">
        <x:v>BATH-OP-SMALL-ARM</x:v>
      </x:c>
      <x:c r="B14" s="185" t="str">
        <x:v>小開口アーム</x:v>
      </x:c>
      <x:c r="C14" s="185" t="str">
        <x:v>開口制限</x:v>
      </x:c>
      <x:c r="D14" s="185" t="str">
        <x:v>USER_SELECT</x:v>
      </x:c>
      <x:c r="E14" s="185" t="str">
        <x:v>VSOP HD&gt;=716</x:v>
      </x:c>
      <x:c r="F14" s="185" t="str">
        <x:v>COMPLETE</x:v>
      </x:c>
      <x:c r="G14" s="186" t="str">
        <x:v>BATH-EV-005,011</x:v>
      </x:c>
      <x:c r="H14" s="40"/>
    </x:row>
    <x:row r="15">
      <x:c r="A15" s="184" t="str">
        <x:v>BATH-OP-POST-BEAD</x:v>
      </x:c>
      <x:c r="B15" s="185" t="str">
        <x:v>後付ビード</x:v>
      </x:c>
      <x:c r="C15" s="185" t="str">
        <x:v>ガラス部材</x:v>
      </x:c>
      <x:c r="D15" s="185" t="str">
        <x:v>CONDITIONAL_REQUIRED</x:v>
      </x:c>
      <x:c r="E15" s="185" t="str">
        <x:v>該当構成</x:v>
      </x:c>
      <x:c r="F15" s="185" t="str">
        <x:v>COMPLETE</x:v>
      </x:c>
      <x:c r="G15" s="186" t="str">
        <x:v>BATH-EV-005</x:v>
      </x:c>
    </x:row>
    <x:row r="16">
      <x:c r="A16" s="184" t="str">
        <x:v>BATH-OP-AIRTIGHT-TAPE</x:v>
      </x:c>
      <x:c r="B16" s="185" t="str">
        <x:v>気密テープ</x:v>
      </x:c>
      <x:c r="C16" s="185" t="str">
        <x:v>施工部材</x:v>
      </x:c>
      <x:c r="D16" s="185" t="str">
        <x:v>SYSTEM_REQUIRED</x:v>
      </x:c>
      <x:c r="E16" s="185" t="str">
        <x:v>気密・水密性能</x:v>
      </x:c>
      <x:c r="F16" s="185" t="str">
        <x:v>COMPLETE</x:v>
      </x:c>
      <x:c r="G16" s="186" t="str">
        <x:v>BATH-EV-011</x:v>
      </x:c>
    </x:row>
    <x:row r="17">
      <x:c r="A17" s="187" t="str">
        <x:v>BATH-OP-SB-TRIM</x:v>
      </x:c>
      <x:c r="B17" s="188" t="str">
        <x:v>システムバス額縁</x:v>
      </x:c>
      <x:c r="C17" s="188" t="str">
        <x:v>浴室部材</x:v>
      </x:c>
      <x:c r="D17" s="188" t="str">
        <x:v>EXTERNAL_SYSTEM_OPTION</x:v>
      </x:c>
      <x:c r="E17" s="188" t="str">
        <x:v>SB同時交換</x:v>
      </x:c>
      <x:c r="F17" s="188" t="str">
        <x:v>COMPLETE</x:v>
      </x:c>
      <x:c r="G17" s="189" t="str">
        <x:v>BATH-EV-004,009</x:v>
      </x:c>
    </x:row>
  </x:sheetData>
  <x:mergeCells>
    <x:mergeCell ref="A1:H1"/>
    <x:mergeCell ref="A1:F1"/>
    <x:mergeCell ref="A1:G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4" hidden="0" customWidth="1"/>
    <x:col min="4" max="4" width="64" hidden="0" customWidth="1"/>
    <x:col min="5" max="5" width="62" hidden="0" customWidth="1"/>
    <x:col min="6" max="6" width="18" hidden="0" customWidth="1"/>
    <x:col min="7" max="7" width="22" hidden="0" customWidth="1"/>
    <x:col min="8" max="8" width="18" hidden="0" customWidth="1"/>
  </x:cols>
  <x:sheetData>
    <x:row r="1" ht="28" customHeight="1">
      <x:c r="A1" s="178" t="str">
        <x:v>09A_OP依存関係｜浴室仕様</x:v>
      </x:c>
      <x:c r="B1" s="178"/>
      <x:c r="C1" s="178"/>
      <x:c r="D1" s="178"/>
      <x:c r="E1" s="178"/>
      <x:c r="F1" s="178"/>
      <x:c r="G1" s="178"/>
      <x:c r="H1" s="127"/>
    </x:row>
    <x:row r="3" ht="30" customHeight="1">
      <x:c r="A3" s="181" t="str">
        <x:v>dependency_id</x:v>
      </x:c>
      <x:c r="B3" s="182" t="str">
        <x:v>option_id</x:v>
      </x:c>
      <x:c r="C3" s="182" t="str">
        <x:v>relation</x:v>
      </x:c>
      <x:c r="D3" s="182" t="str">
        <x:v>condition/value</x:v>
      </x:c>
      <x:c r="E3" s="182" t="str">
        <x:v>action_note</x:v>
      </x:c>
      <x:c r="F3" s="182" t="str">
        <x:v>status</x:v>
      </x:c>
      <x:c r="G3" s="183" t="str">
        <x:v>evidence</x:v>
      </x:c>
      <x:c r="H3" s="143"/>
    </x:row>
    <x:row r="4">
      <x:c r="A4" s="184" t="str">
        <x:v>BATH-OD-001</x:v>
      </x:c>
      <x:c r="B4" s="185" t="str">
        <x:v>BATH-OP-UPPER-BASE</x:v>
      </x:c>
      <x:c r="C4" s="185" t="str">
        <x:v>REQUIRED_IF</x:v>
      </x:c>
      <x:c r="D4" s="185" t="str">
        <x:v>installation_method=INNER_FIT</x:v>
      </x:c>
      <x:c r="E4" s="185" t="str">
        <x:v>自動追加</x:v>
      </x:c>
      <x:c r="F4" s="185" t="str">
        <x:v>COMPLETE</x:v>
      </x:c>
      <x:c r="G4" s="186" t="str">
        <x:v>BATH-EV-005,009</x:v>
      </x:c>
      <x:c r="H4" s="146"/>
    </x:row>
    <x:row r="5">
      <x:c r="A5" s="184" t="str">
        <x:v>BATH-OD-002</x:v>
      </x:c>
      <x:c r="B5" s="185" t="str">
        <x:v>BATH-OP-ANGLE-NOMITER</x:v>
      </x:c>
      <x:c r="C5" s="185" t="str">
        <x:v>REQUIRED_IF</x:v>
      </x:c>
      <x:c r="D5" s="185" t="str">
        <x:v>bathroom_remodel_mode=WINDOW_ONLY</x:v>
      </x:c>
      <x:c r="E5" s="185" t="str">
        <x:v>自動追加候補</x:v>
      </x:c>
      <x:c r="F5" s="185" t="str">
        <x:v>COMPLETE</x:v>
      </x:c>
      <x:c r="G5" s="186" t="str">
        <x:v>BATH-EV-003,005</x:v>
      </x:c>
      <x:c r="H5" s="146"/>
    </x:row>
    <x:row r="6">
      <x:c r="A6" s="184" t="str">
        <x:v>BATH-OD-003</x:v>
      </x:c>
      <x:c r="B6" s="185" t="str">
        <x:v>BATH-OP-CASING</x:v>
      </x:c>
      <x:c r="C6" s="185" t="str">
        <x:v>INCOMPATIBLE</x:v>
      </x:c>
      <x:c r="D6" s="185" t="str">
        <x:v>BATH-OP-ANGLE-NOMITER</x:v>
      </x:c>
      <x:c r="E6" s="185" t="str">
        <x:v>併用不可</x:v>
      </x:c>
      <x:c r="F6" s="185" t="str">
        <x:v>COMPLETE</x:v>
      </x:c>
      <x:c r="G6" s="186" t="str">
        <x:v>BATH-EV-011</x:v>
      </x:c>
      <x:c r="H6" s="146"/>
    </x:row>
    <x:row r="7">
      <x:c r="A7" s="184" t="str">
        <x:v>BATH-OD-004</x:v>
      </x:c>
      <x:c r="B7" s="185" t="str">
        <x:v>BATH-OP-DEPTH</x:v>
      </x:c>
      <x:c r="C7" s="185" t="str">
        <x:v>INCOMPATIBLE</x:v>
      </x:c>
      <x:c r="D7" s="185" t="str">
        <x:v>BATH-OP-SIDE-COVER</x:v>
      </x:c>
      <x:c r="E7" s="185" t="str">
        <x:v>併用不可</x:v>
      </x:c>
      <x:c r="F7" s="185" t="str">
        <x:v>COMPLETE</x:v>
      </x:c>
      <x:c r="G7" s="186" t="str">
        <x:v>BATH-EV-011</x:v>
      </x:c>
      <x:c r="H7" s="146"/>
    </x:row>
    <x:row r="8">
      <x:c r="A8" s="184" t="str">
        <x:v>BATH-OD-005</x:v>
      </x:c>
      <x:c r="B8" s="185" t="str">
        <x:v>BATH-OP-DEPTH</x:v>
      </x:c>
      <x:c r="C8" s="185" t="str">
        <x:v>PROHIBITS</x:v>
      </x:c>
      <x:c r="D8" s="185" t="str">
        <x:v>frame_type=BATH-BRG</x:v>
      </x:c>
      <x:c r="E8" s="185" t="str">
        <x:v>非表示</x:v>
      </x:c>
      <x:c r="F8" s="185" t="str">
        <x:v>COMPLETE</x:v>
      </x:c>
      <x:c r="G8" s="186" t="str">
        <x:v>BATH-EV-011</x:v>
      </x:c>
      <x:c r="H8" s="146"/>
    </x:row>
    <x:row r="9">
      <x:c r="A9" s="184" t="str">
        <x:v>BATH-OD-006</x:v>
      </x:c>
      <x:c r="B9" s="185" t="str">
        <x:v>BATH-OP-FIX-GROOVE</x:v>
      </x:c>
      <x:c r="C9" s="185" t="str">
        <x:v>REQUIRED_IF</x:v>
      </x:c>
      <x:c r="D9" s="185" t="str">
        <x:v>window_type IN(VSOP,HSOP) AND fixed_screen=NONE</x:v>
      </x:c>
      <x:c r="E9" s="185" t="str">
        <x:v>自動追加</x:v>
      </x:c>
      <x:c r="F9" s="185" t="str">
        <x:v>COMPLETE</x:v>
      </x:c>
      <x:c r="G9" s="186" t="str">
        <x:v>BATH-EV-005</x:v>
      </x:c>
      <x:c r="H9" s="146"/>
    </x:row>
    <x:row r="10">
      <x:c r="A10" s="184" t="str">
        <x:v>BATH-OD-007</x:v>
      </x:c>
      <x:c r="B10" s="185" t="str">
        <x:v>BATH-OP-ROLL-SEAL</x:v>
      </x:c>
      <x:c r="C10" s="185" t="str">
        <x:v>REQUIRED_IF</x:v>
      </x:c>
      <x:c r="D10" s="185" t="str">
        <x:v>opening_configuration=STACKED AND upper_screen=ROLL_HORIZONTAL</x:v>
      </x:c>
      <x:c r="E10" s="185" t="str">
        <x:v>自動追加</x:v>
      </x:c>
      <x:c r="F10" s="185" t="str">
        <x:v>COMPLETE</x:v>
      </x:c>
      <x:c r="G10" s="186" t="str">
        <x:v>BATH-EV-005</x:v>
      </x:c>
      <x:c r="H10" s="146"/>
    </x:row>
    <x:row r="11">
      <x:c r="A11" s="184" t="str">
        <x:v>BATH-OD-008</x:v>
      </x:c>
      <x:c r="B11" s="185" t="str">
        <x:v>BATH-OP-SMALL-ARM</x:v>
      </x:c>
      <x:c r="C11" s="185" t="str">
        <x:v>SHOW_IF</x:v>
      </x:c>
      <x:c r="D11" s="185" t="str">
        <x:v>window_type=VSOP AND HD&gt;=716</x:v>
      </x:c>
      <x:c r="E11" s="185" t="str">
        <x:v>条件外非表示</x:v>
      </x:c>
      <x:c r="F11" s="185" t="str">
        <x:v>COMPLETE</x:v>
      </x:c>
      <x:c r="G11" s="186" t="str">
        <x:v>BATH-EV-005,011</x:v>
      </x:c>
      <x:c r="H11" s="146"/>
    </x:row>
    <x:row r="12">
      <x:c r="A12" s="184" t="str">
        <x:v>BATH-OD-009</x:v>
      </x:c>
      <x:c r="B12" s="185" t="str">
        <x:v>BATH-OP-SMART-CRESCENT</x:v>
      </x:c>
      <x:c r="C12" s="185" t="str">
        <x:v>PROHIBITED_FOR_VARIATION</x:v>
      </x:c>
      <x:c r="D12" s="185" t="str">
        <x:v>RPL_BATH</x:v>
      </x:c>
      <x:c r="E12" s="185" t="str">
        <x:v>常時非表示</x:v>
      </x:c>
      <x:c r="F12" s="185" t="str">
        <x:v>COMPLETE</x:v>
      </x:c>
      <x:c r="G12" s="186" t="str">
        <x:v>BATH-EV-011</x:v>
      </x:c>
      <x:c r="H12" s="146"/>
    </x:row>
    <x:row r="13">
      <x:c r="A13" s="187" t="str">
        <x:v>BATH-OD-010</x:v>
      </x:c>
      <x:c r="B13" s="188" t="str">
        <x:v>BATH-OP-SB-TRIM</x:v>
      </x:c>
      <x:c r="C13" s="188" t="str">
        <x:v>EXTERNAL_OPTION</x:v>
      </x:c>
      <x:c r="D13" s="188" t="str">
        <x:v>SYSTEM_BATH_SIMULTANEOUS</x:v>
      </x:c>
      <x:c r="E13" s="188" t="str">
        <x:v>リプラスUI非表示</x:v>
      </x:c>
      <x:c r="F13" s="188" t="str">
        <x:v>COMPLETE</x:v>
      </x:c>
      <x:c r="G13" s="189" t="str">
        <x:v>BATH-EV-004,009</x:v>
      </x:c>
      <x:c r="H13" s="146"/>
    </x:row>
    <x:row r="14">
      <x:c r="A14" s="144"/>
      <x:c r="B14" s="145"/>
      <x:c r="C14" s="145"/>
      <x:c r="D14" s="145"/>
      <x:c r="E14" s="145"/>
      <x:c r="F14" s="145"/>
      <x:c r="G14" s="145"/>
      <x:c r="H14" s="146"/>
    </x:row>
    <x:row r="15">
      <x:c r="A15" s="147"/>
      <x:c r="B15" s="148"/>
      <x:c r="C15" s="148"/>
      <x:c r="D15" s="148"/>
      <x:c r="E15" s="148"/>
      <x:c r="F15" s="148"/>
      <x:c r="G15" s="148"/>
      <x:c r="H15" s="149"/>
    </x:row>
  </x:sheetData>
  <x:mergeCells>
    <x:mergeCell ref="A1:H1"/>
    <x:mergeCell ref="A1:G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40" hidden="0" customWidth="1"/>
    <x:col min="4" max="4" width="30" hidden="0" customWidth="1"/>
    <x:col min="5" max="5" width="64" hidden="0" customWidth="1"/>
    <x:col min="6" max="6" width="18" hidden="0" customWidth="1"/>
    <x:col min="7" max="7" width="22" hidden="0" customWidth="1"/>
  </x:cols>
  <x:sheetData>
    <x:row r="1" ht="28" customHeight="1">
      <x:c r="A1" s="178" t="str">
        <x:v>10_適用条件｜浴室仕様</x:v>
      </x:c>
      <x:c r="B1" s="178"/>
      <x:c r="C1" s="178"/>
      <x:c r="D1" s="178"/>
      <x:c r="E1" s="178"/>
      <x:c r="F1" s="178"/>
      <x:c r="G1" s="178"/>
    </x:row>
    <x:row r="3" ht="30" customHeight="1">
      <x:c r="A3" s="181" t="str">
        <x:v>rule_id</x:v>
      </x:c>
      <x:c r="B3" s="182" t="str">
        <x:v>condition_type</x:v>
      </x:c>
      <x:c r="C3" s="182" t="str">
        <x:v>value</x:v>
      </x:c>
      <x:c r="D3" s="182" t="str">
        <x:v>result</x:v>
      </x:c>
      <x:c r="E3" s="182" t="str">
        <x:v>action</x:v>
      </x:c>
      <x:c r="F3" s="182" t="str">
        <x:v>status</x:v>
      </x:c>
      <x:c r="G3" s="183" t="str">
        <x:v>evidence</x:v>
      </x:c>
    </x:row>
    <x:row r="4">
      <x:c r="A4" s="184" t="str">
        <x:v>BATH-AP-MATERIAL-RESIN</x:v>
      </x:c>
      <x:c r="B4" s="185" t="str">
        <x:v>existing_sash_material</x:v>
      </x:c>
      <x:c r="C4" s="185" t="str">
        <x:v>樹脂製</x:v>
      </x:c>
      <x:c r="D4" s="185" t="str">
        <x:v>UNAVAILABLE</x:v>
      </x:c>
      <x:c r="E4" s="185" t="str">
        <x:v>取付不可</x:v>
      </x:c>
      <x:c r="F4" s="185" t="str">
        <x:v>COMPLETE</x:v>
      </x:c>
      <x:c r="G4" s="186" t="str">
        <x:v>BATH-EV-004,009</x:v>
      </x:c>
    </x:row>
    <x:row r="5">
      <x:c r="A5" s="184" t="str">
        <x:v>BATH-AP-MATERIAL-WOOD</x:v>
      </x:c>
      <x:c r="B5" s="185" t="str">
        <x:v>existing_sash_material</x:v>
      </x:c>
      <x:c r="C5" s="185" t="str">
        <x:v>木製</x:v>
      </x:c>
      <x:c r="D5" s="185" t="str">
        <x:v>UNAVAILABLE</x:v>
      </x:c>
      <x:c r="E5" s="185" t="str">
        <x:v>取付不可</x:v>
      </x:c>
      <x:c r="F5" s="185" t="str">
        <x:v>COMPLETE</x:v>
      </x:c>
      <x:c r="G5" s="186" t="str">
        <x:v>BATH-EV-004,009</x:v>
      </x:c>
    </x:row>
    <x:row r="6">
      <x:c r="A6" s="184" t="str">
        <x:v>BATH-AP-FIRE</x:v>
      </x:c>
      <x:c r="B6" s="185" t="str">
        <x:v>fire_required</x:v>
      </x:c>
      <x:c r="C6" s="185" t="str">
        <x:v>防火設備必要</x:v>
      </x:c>
      <x:c r="D6" s="185" t="str">
        <x:v>UNAVAILABLE</x:v>
      </x:c>
      <x:c r="E6" s="185" t="str">
        <x:v>浴室仕様に防火設定なし</x:v>
      </x:c>
      <x:c r="F6" s="185" t="str">
        <x:v>COMPLETE</x:v>
      </x:c>
      <x:c r="G6" s="186" t="str">
        <x:v>BATH-EV-009</x:v>
      </x:c>
    </x:row>
    <x:row r="7">
      <x:c r="A7" s="184" t="str">
        <x:v>BATH-AP-SB-SIM</x:v>
      </x:c>
      <x:c r="B7" s="185" t="str">
        <x:v>bathroom_remodel_mode</x:v>
      </x:c>
      <x:c r="C7" s="185" t="str">
        <x:v>SYSTEM_BATH_SIMULTANEOUS</x:v>
      </x:c>
      <x:c r="D7" s="185" t="str">
        <x:v>AVAILABLE</x:v>
      </x:c>
      <x:c r="E7" s="185" t="str">
        <x:v>在来→SB / SB→SB</x:v>
      </x:c>
      <x:c r="F7" s="185" t="str">
        <x:v>COMPLETE</x:v>
      </x:c>
      <x:c r="G7" s="186" t="str">
        <x:v>BATH-EV-003,009</x:v>
      </x:c>
    </x:row>
    <x:row r="8">
      <x:c r="A8" s="184" t="str">
        <x:v>BATH-AP-WINDOWONLY</x:v>
      </x:c>
      <x:c r="B8" s="185" t="str">
        <x:v>bathroom_remodel_mode</x:v>
      </x:c>
      <x:c r="C8" s="185" t="str">
        <x:v>WINDOW_ONLY</x:v>
      </x:c>
      <x:c r="D8" s="185" t="str">
        <x:v>CONDITIONAL</x:v>
      </x:c>
      <x:c r="E8" s="185" t="str">
        <x:v>躯体固定＋額縁下地</x:v>
      </x:c>
      <x:c r="F8" s="185" t="str">
        <x:v>COMPLETE</x:v>
      </x:c>
      <x:c r="G8" s="186" t="str">
        <x:v>BATH-EV-009</x:v>
      </x:c>
    </x:row>
    <x:row r="9">
      <x:c r="A9" s="184" t="str">
        <x:v>BATH-AP-WINDOWONLY-OPEN</x:v>
      </x:c>
      <x:c r="B9" s="185" t="str">
        <x:v>system_bath_trim_opening</x:v>
      </x:c>
      <x:c r="C9" s="185" t="str">
        <x:v>SB額縁内法 &lt; 既設サッシ開口</x:v>
      </x:c>
      <x:c r="D9" s="185" t="str">
        <x:v>UNAVAILABLE</x:v>
      </x:c>
      <x:c r="E9" s="185" t="str">
        <x:v>窓単独交換不可</x:v>
      </x:c>
      <x:c r="F9" s="185" t="str">
        <x:v>COMPLETE</x:v>
      </x:c>
      <x:c r="G9" s="186" t="str">
        <x:v>BATH-EV-009</x:v>
      </x:c>
    </x:row>
    <x:row r="10">
      <x:c r="A10" s="187" t="str">
        <x:v>BATH-AP-RAIN</x:v>
      </x:c>
      <x:c r="B10" s="188" t="str">
        <x:v>existing_frame_type</x:v>
      </x:c>
      <x:c r="C10" s="188" t="str">
        <x:v>雨戸付/シャッター付</x:v>
      </x:c>
      <x:c r="D10" s="188" t="str">
        <x:v>INNER_FIT_REQUIRED</x:v>
      </x:c>
      <x:c r="E10" s="188" t="str">
        <x:v>内嵌め施工</x:v>
      </x:c>
      <x:c r="F10" s="188" t="str">
        <x:v>COMPLETE</x:v>
      </x:c>
      <x:c r="G10" s="189" t="str">
        <x:v>BATH-EV-009</x:v>
      </x:c>
    </x:row>
    <x:row r="11">
      <x:c r="A11" s="35"/>
      <x:c r="B11" s="36"/>
      <x:c r="C11" s="36"/>
      <x:c r="D11" s="36"/>
      <x:c r="E11" s="36"/>
      <x:c r="F11" s="36"/>
      <x:c r="G11" s="37"/>
    </x:row>
    <x:row r="12">
      <x:c r="A12" s="35"/>
      <x:c r="B12" s="36"/>
      <x:c r="C12" s="36"/>
      <x:c r="D12" s="36"/>
      <x:c r="E12" s="36"/>
      <x:c r="F12" s="36"/>
      <x:c r="G12" s="37"/>
    </x:row>
    <x:row r="13">
      <x:c r="A13" s="35"/>
      <x:c r="B13" s="36"/>
      <x:c r="C13" s="36"/>
      <x:c r="D13" s="36"/>
      <x:c r="E13" s="36"/>
      <x:c r="F13" s="36"/>
      <x:c r="G13" s="37"/>
    </x:row>
    <x:row r="14">
      <x:c r="A14" s="38"/>
      <x:c r="B14" s="39"/>
      <x:c r="C14" s="39"/>
      <x:c r="D14" s="39"/>
      <x:c r="E14" s="39"/>
      <x:c r="F14" s="39"/>
      <x:c r="G14" s="40"/>
    </x:row>
  </x:sheetData>
  <x:mergeCells>
    <x:mergeCell ref="A1:G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30" hidden="0" customWidth="1"/>
    <x:col min="4" max="4" width="74" hidden="0" customWidth="1"/>
    <x:col min="5" max="5" width="18" hidden="0" customWidth="1"/>
    <x:col min="6" max="6" width="22" hidden="0" customWidth="1"/>
    <x:col min="7" max="7" width="14" hidden="0" customWidth="1"/>
    <x:col min="8" max="8" width="16" hidden="0" customWidth="1"/>
  </x:cols>
  <x:sheetData>
    <x:row r="1" ht="28" customHeight="1">
      <x:c r="A1" s="178" t="str">
        <x:v>10A_既設窓互換｜浴室仕様</x:v>
      </x:c>
      <x:c r="B1" s="178"/>
      <x:c r="C1" s="178"/>
      <x:c r="D1" s="178"/>
      <x:c r="E1" s="178"/>
      <x:c r="F1" s="178"/>
      <x:c r="G1" s="4"/>
      <x:c r="H1" s="4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</x:row>
    <x:row r="3">
      <x:c r="A3" s="181" t="str">
        <x:v>rule_id</x:v>
      </x:c>
      <x:c r="B3" s="182" t="str">
        <x:v>existing_window_type</x:v>
      </x:c>
      <x:c r="C3" s="182" t="str">
        <x:v>result</x:v>
      </x:c>
      <x:c r="D3" s="182" t="str">
        <x:v>condition_note</x:v>
      </x:c>
      <x:c r="E3" s="182" t="str">
        <x:v>status</x:v>
      </x:c>
      <x:c r="F3" s="183" t="str">
        <x:v>evidence</x:v>
      </x:c>
    </x:row>
    <x:row r="4" ht="30" customHeight="1">
      <x:c r="A4" s="196" t="str">
        <x:v>BATH-EX-SINGLE-SLD</x:v>
      </x:c>
      <x:c r="B4" s="198" t="str">
        <x:v>引違い単体</x:v>
      </x:c>
      <x:c r="C4" s="198" t="str">
        <x:v>AVAILABLE</x:v>
      </x:c>
      <x:c r="D4" s="198" t="str">
        <x:v>—</x:v>
      </x:c>
      <x:c r="E4" s="198" t="str">
        <x:v>COMPLETE</x:v>
      </x:c>
      <x:c r="F4" s="197" t="str">
        <x:v>BATH-EV-009</x:v>
      </x:c>
      <x:c r="G4" s="33"/>
      <x:c r="H4" s="34"/>
    </x:row>
    <x:row r="5">
      <x:c r="A5" s="184" t="str">
        <x:v>BATH-EX-INTEGRAL</x:v>
      </x:c>
      <x:c r="B5" s="185" t="str">
        <x:v>一体連窓・段窓</x:v>
      </x:c>
      <x:c r="C5" s="185" t="str">
        <x:v>AVAILABLE_CONDITIONAL</x:v>
      </x:c>
      <x:c r="D5" s="185" t="str">
        <x:v>無目露出条件等確認</x:v>
      </x:c>
      <x:c r="E5" s="185" t="str">
        <x:v>COMPLETE</x:v>
      </x:c>
      <x:c r="F5" s="186" t="str">
        <x:v>BATH-EV-009,012</x:v>
      </x:c>
      <x:c r="G5" s="36"/>
      <x:c r="H5" s="37"/>
    </x:row>
    <x:row r="6">
      <x:c r="A6" s="184" t="str">
        <x:v>BATH-EX-SEPARATE</x:v>
      </x:c>
      <x:c r="B6" s="185" t="str">
        <x:v>別体連窓・段窓</x:v>
      </x:c>
      <x:c r="C6" s="185" t="str">
        <x:v>UNAVAILABLE</x:v>
      </x:c>
      <x:c r="D6" s="185" t="str">
        <x:v>取替不可</x:v>
      </x:c>
      <x:c r="E6" s="185" t="str">
        <x:v>COMPLETE</x:v>
      </x:c>
      <x:c r="F6" s="186" t="str">
        <x:v>BATH-EV-009</x:v>
      </x:c>
      <x:c r="G6" s="36"/>
      <x:c r="H6" s="37"/>
    </x:row>
    <x:row r="7">
      <x:c r="A7" s="184" t="str">
        <x:v>BATH-EX-DOUBLE</x:v>
      </x:c>
      <x:c r="B7" s="185" t="str">
        <x:v>二重サッシ</x:v>
      </x:c>
      <x:c r="C7" s="185" t="str">
        <x:v>CONDITIONAL</x:v>
      </x:c>
      <x:c r="D7" s="185" t="str">
        <x:v>内窓撤去可能等</x:v>
      </x:c>
      <x:c r="E7" s="185" t="str">
        <x:v>COMPLETE</x:v>
      </x:c>
      <x:c r="F7" s="186" t="str">
        <x:v>BATH-EV-009</x:v>
      </x:c>
      <x:c r="G7" s="36"/>
      <x:c r="H7" s="37"/>
    </x:row>
    <x:row r="8">
      <x:c r="A8" s="184" t="str">
        <x:v>BATH-EX-GRILLE</x:v>
      </x:c>
      <x:c r="B8" s="185" t="str">
        <x:v>面格子付</x:v>
      </x:c>
      <x:c r="C8" s="185" t="str">
        <x:v>AVAILABLE_CONDITIONAL</x:v>
      </x:c>
      <x:c r="D8" s="185" t="str">
        <x:v>施工条件確認</x:v>
      </x:c>
      <x:c r="E8" s="185" t="str">
        <x:v>COMPLETE</x:v>
      </x:c>
      <x:c r="F8" s="186" t="str">
        <x:v>BATH-EV-009</x:v>
      </x:c>
      <x:c r="G8" s="36"/>
      <x:c r="H8" s="37"/>
    </x:row>
    <x:row r="9">
      <x:c r="A9" s="184" t="str">
        <x:v>BATH-EX-RAIN</x:v>
      </x:c>
      <x:c r="B9" s="185" t="str">
        <x:v>雨戸付</x:v>
      </x:c>
      <x:c r="C9" s="185" t="str">
        <x:v>AVAILABLE_CONDITIONAL</x:v>
      </x:c>
      <x:c r="D9" s="185" t="str">
        <x:v>内嵌め施工</x:v>
      </x:c>
      <x:c r="E9" s="185" t="str">
        <x:v>COMPLETE</x:v>
      </x:c>
      <x:c r="F9" s="186" t="str">
        <x:v>BATH-EV-009</x:v>
      </x:c>
      <x:c r="G9" s="36"/>
      <x:c r="H9" s="37"/>
    </x:row>
    <x:row r="10">
      <x:c r="A10" s="184" t="str">
        <x:v>BATH-EX-SHUTTER</x:v>
      </x:c>
      <x:c r="B10" s="185" t="str">
        <x:v>シャッター付（電動除く）</x:v>
      </x:c>
      <x:c r="C10" s="185" t="str">
        <x:v>AVAILABLE_CONDITIONAL</x:v>
      </x:c>
      <x:c r="D10" s="185" t="str">
        <x:v>内嵌め施工</x:v>
      </x:c>
      <x:c r="E10" s="185" t="str">
        <x:v>COMPLETE</x:v>
      </x:c>
      <x:c r="F10" s="186" t="str">
        <x:v>BATH-EV-009</x:v>
      </x:c>
      <x:c r="G10" s="36"/>
      <x:c r="H10" s="37"/>
    </x:row>
    <x:row r="11">
      <x:c r="A11" s="187" t="str">
        <x:v>BATH-EX-IRREGULAR</x:v>
      </x:c>
      <x:c r="B11" s="188" t="str">
        <x:v>丸・台形等異形</x:v>
      </x:c>
      <x:c r="C11" s="188" t="str">
        <x:v>UNAVAILABLE</x:v>
      </x:c>
      <x:c r="D11" s="188" t="str">
        <x:v>取替不可</x:v>
      </x:c>
      <x:c r="E11" s="188" t="str">
        <x:v>COMPLETE</x:v>
      </x:c>
      <x:c r="F11" s="189" t="str">
        <x:v>BATH-EV-009</x:v>
      </x:c>
      <x:c r="G11" s="36"/>
      <x:c r="H11" s="37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5"/>
      <x:c r="B13" s="36"/>
      <x:c r="C13" s="36"/>
      <x:c r="D13" s="36"/>
      <x:c r="E13" s="36"/>
      <x:c r="F13" s="36"/>
      <x:c r="G13" s="36"/>
      <x:c r="H13" s="37"/>
    </x:row>
    <x:row r="14">
      <x:c r="A14" s="35"/>
      <x:c r="B14" s="36"/>
      <x:c r="C14" s="36"/>
      <x:c r="D14" s="36"/>
      <x:c r="E14" s="36"/>
      <x:c r="F14" s="36"/>
      <x:c r="G14" s="36"/>
      <x:c r="H14" s="37"/>
    </x:row>
    <x:row r="15">
      <x:c r="A15" s="38"/>
      <x:c r="B15" s="39"/>
      <x:c r="C15" s="39"/>
      <x:c r="D15" s="39"/>
      <x:c r="E15" s="39"/>
      <x:c r="F15" s="39"/>
      <x:c r="G15" s="39"/>
      <x:c r="H15" s="40"/>
    </x:row>
  </x:sheetData>
  <x:mergeCells>
    <x:mergeCell ref="A1:H1"/>
    <x:mergeCell ref="A2:H2"/>
    <x:mergeCell ref="A1:F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10" hidden="0" customWidth="1"/>
    <x:col min="5" max="5" width="88" hidden="0" customWidth="1"/>
    <x:col min="6" max="6" width="22" hidden="0" customWidth="1"/>
    <x:col min="7" max="7" width="30" hidden="0" customWidth="1"/>
    <x:col min="8" max="8" width="22" hidden="0" customWidth="1"/>
    <x:col min="9" max="9" width="18" hidden="0" customWidth="1"/>
  </x:cols>
  <x:sheetData>
    <x:row r="1" ht="28" customHeight="1">
      <x:c r="A1" s="178" t="str">
        <x:v>10B_現調項目｜浴室仕様</x:v>
      </x:c>
      <x:c r="B1" s="178"/>
      <x:c r="C1" s="178"/>
      <x:c r="D1" s="178"/>
      <x:c r="E1" s="178"/>
      <x:c r="F1" s="178"/>
      <x:c r="G1" s="178"/>
      <x:c r="H1" s="178"/>
      <x:c r="I1" s="127"/>
    </x:row>
    <x:row r="3" ht="30" customHeight="1">
      <x:c r="A3" s="181" t="str">
        <x:v>survey_id</x:v>
      </x:c>
      <x:c r="B3" s="182" t="str">
        <x:v>項目名</x:v>
      </x:c>
      <x:c r="C3" s="182" t="str">
        <x:v>symbol</x:v>
      </x:c>
      <x:c r="D3" s="182" t="str">
        <x:v>unit</x:v>
      </x:c>
      <x:c r="E3" s="182" t="str">
        <x:v>判定/採寸ルール</x:v>
      </x:c>
      <x:c r="F3" s="182" t="str">
        <x:v>requirement</x:v>
      </x:c>
      <x:c r="G3" s="182" t="str">
        <x:v>status</x:v>
      </x:c>
      <x:c r="H3" s="183" t="str">
        <x:v>evidence</x:v>
      </x:c>
      <x:c r="I3" s="143"/>
    </x:row>
    <x:row r="4">
      <x:c r="A4" s="184" t="str">
        <x:v>BATH-SV-W3</x:v>
      </x:c>
      <x:c r="B4" s="185" t="str">
        <x:v>採寸W 3点</x:v>
      </x:c>
      <x:c r="C4" s="185" t="str">
        <x:v>WS</x:v>
      </x:c>
      <x:c r="D4" s="185" t="str">
        <x:v>mm</x:v>
      </x:c>
      <x:c r="E4" s="185" t="str">
        <x:v>上・中・下の最小値</x:v>
      </x:c>
      <x:c r="F4" s="185" t="str">
        <x:v>REQUIRED</x:v>
      </x:c>
      <x:c r="G4" s="185" t="str">
        <x:v>COMPLETE</x:v>
      </x:c>
      <x:c r="H4" s="186" t="str">
        <x:v>BATH-EV-009</x:v>
      </x:c>
      <x:c r="I4" s="146"/>
    </x:row>
    <x:row r="5">
      <x:c r="A5" s="184" t="str">
        <x:v>BATH-SV-H3</x:v>
      </x:c>
      <x:c r="B5" s="185" t="str">
        <x:v>採寸H 3点</x:v>
      </x:c>
      <x:c r="C5" s="185" t="str">
        <x:v>HS</x:v>
      </x:c>
      <x:c r="D5" s="185" t="str">
        <x:v>mm</x:v>
      </x:c>
      <x:c r="E5" s="185" t="str">
        <x:v>左・中・右の最小値</x:v>
      </x:c>
      <x:c r="F5" s="185" t="str">
        <x:v>REQUIRED</x:v>
      </x:c>
      <x:c r="G5" s="185" t="str">
        <x:v>COMPLETE</x:v>
      </x:c>
      <x:c r="H5" s="186" t="str">
        <x:v>BATH-EV-009</x:v>
      </x:c>
      <x:c r="I5" s="146"/>
    </x:row>
    <x:row r="6">
      <x:c r="A6" s="184" t="str">
        <x:v>BATH-SV-DEFORM</x:v>
      </x:c>
      <x:c r="B6" s="185" t="str">
        <x:v>ねじれ/ゆがみ/たおれ</x:v>
      </x:c>
      <x:c r="C6" s="185" t="str">
        <x:v>—</x:v>
      </x:c>
      <x:c r="D6" s="185" t="str">
        <x:v>—</x:v>
      </x:c>
      <x:c r="E6" s="185" t="str">
        <x:v>公式許容範囲確認</x:v>
      </x:c>
      <x:c r="F6" s="185" t="str">
        <x:v>REQUIRED</x:v>
      </x:c>
      <x:c r="G6" s="185" t="str">
        <x:v>COMPLETE_WITH_EXTERNAL_CHECK</x:v>
      </x:c>
      <x:c r="H6" s="186" t="str">
        <x:v>BATH-EV-009</x:v>
      </x:c>
      <x:c r="I6" s="146"/>
    </x:row>
    <x:row r="7">
      <x:c r="A7" s="184" t="str">
        <x:v>BATH-SV-HEAD-FACE</x:v>
      </x:c>
      <x:c r="B7" s="185" t="str">
        <x:v>既設上枠見付</x:v>
      </x:c>
      <x:c r="C7" s="185" t="str">
        <x:v>—</x:v>
      </x:c>
      <x:c r="D7" s="185" t="str">
        <x:v>mm</x:v>
      </x:c>
      <x:c r="E7" s="185" t="str">
        <x:v>10Cへ</x:v>
      </x:c>
      <x:c r="F7" s="185" t="str">
        <x:v>REQUIRED</x:v>
      </x:c>
      <x:c r="G7" s="185" t="str">
        <x:v>COMPLETE</x:v>
      </x:c>
      <x:c r="H7" s="186" t="str">
        <x:v>BATH-EV-009</x:v>
      </x:c>
      <x:c r="I7" s="146"/>
    </x:row>
    <x:row r="8">
      <x:c r="A8" s="184" t="str">
        <x:v>BATH-SV-SILL-FACE</x:v>
      </x:c>
      <x:c r="B8" s="185" t="str">
        <x:v>既設下枠見付</x:v>
      </x:c>
      <x:c r="C8" s="185" t="str">
        <x:v>—</x:v>
      </x:c>
      <x:c r="D8" s="185" t="str">
        <x:v>mm</x:v>
      </x:c>
      <x:c r="E8" s="185" t="str">
        <x:v>10Cへ</x:v>
      </x:c>
      <x:c r="F8" s="185" t="str">
        <x:v>REQUIRED</x:v>
      </x:c>
      <x:c r="G8" s="185" t="str">
        <x:v>COMPLETE</x:v>
      </x:c>
      <x:c r="H8" s="186" t="str">
        <x:v>BATH-EV-009</x:v>
      </x:c>
      <x:c r="I8" s="146"/>
    </x:row>
    <x:row r="9">
      <x:c r="A9" s="184" t="str">
        <x:v>BATH-SV-JAMB-FACE</x:v>
      </x:c>
      <x:c r="B9" s="185" t="str">
        <x:v>既設縦枠見付</x:v>
      </x:c>
      <x:c r="C9" s="185" t="str">
        <x:v>—</x:v>
      </x:c>
      <x:c r="D9" s="185" t="str">
        <x:v>mm</x:v>
      </x:c>
      <x:c r="E9" s="185" t="str">
        <x:v>10Cへ</x:v>
      </x:c>
      <x:c r="F9" s="185" t="str">
        <x:v>REQUIRED</x:v>
      </x:c>
      <x:c r="G9" s="185" t="str">
        <x:v>COMPLETE</x:v>
      </x:c>
      <x:c r="H9" s="186" t="str">
        <x:v>BATH-EV-009</x:v>
      </x:c>
      <x:c r="I9" s="146"/>
    </x:row>
    <x:row r="10">
      <x:c r="A10" s="184" t="str">
        <x:v>BATH-SV-SILL-STD</x:v>
      </x:c>
      <x:c r="B10" s="185" t="str">
        <x:v>下枠補強金具</x:v>
      </x:c>
      <x:c r="C10" s="185" t="str">
        <x:v>—</x:v>
      </x:c>
      <x:c r="D10" s="185" t="str">
        <x:v>mm</x:v>
      </x:c>
      <x:c r="E10" s="185" t="str">
        <x:v>標準枠37～53</x:v>
      </x:c>
      <x:c r="F10" s="185" t="str">
        <x:v>CONDITIONAL</x:v>
      </x:c>
      <x:c r="G10" s="185" t="str">
        <x:v>COMPLETE</x:v>
      </x:c>
      <x:c r="H10" s="186" t="str">
        <x:v>BATH-EV-009</x:v>
      </x:c>
      <x:c r="I10" s="146"/>
    </x:row>
    <x:row r="11">
      <x:c r="A11" s="184" t="str">
        <x:v>BATH-SV-SILL-BRG</x:v>
      </x:c>
      <x:c r="B11" s="185" t="str">
        <x:v>下枠補強金具</x:v>
      </x:c>
      <x:c r="C11" s="185" t="str">
        <x:v>—</x:v>
      </x:c>
      <x:c r="D11" s="185" t="str">
        <x:v>mm</x:v>
      </x:c>
      <x:c r="E11" s="185" t="str">
        <x:v>ブリッジ枠32～53</x:v>
      </x:c>
      <x:c r="F11" s="185" t="str">
        <x:v>CONDITIONAL</x:v>
      </x:c>
      <x:c r="G11" s="185" t="str">
        <x:v>COMPLETE</x:v>
      </x:c>
      <x:c r="H11" s="186" t="str">
        <x:v>BATH-EV-009</x:v>
      </x:c>
      <x:c r="I11" s="146"/>
    </x:row>
    <x:row r="12">
      <x:c r="A12" s="184" t="str">
        <x:v>BATH-SV-SILL-NA</x:v>
      </x:c>
      <x:c r="B12" s="185" t="str">
        <x:v>下枠補強金具</x:v>
      </x:c>
      <x:c r="C12" s="185" t="str">
        <x:v>—</x:v>
      </x:c>
      <x:c r="D12" s="185" t="str">
        <x:v>—</x:v>
      </x:c>
      <x:c r="E12" s="185" t="str">
        <x:v>縦/横すべり・上げ下げ窓は非適用</x:v>
      </x:c>
      <x:c r="F12" s="185" t="str">
        <x:v>NOT_APPLICABLE</x:v>
      </x:c>
      <x:c r="G12" s="185" t="str">
        <x:v>COMPLETE</x:v>
      </x:c>
      <x:c r="H12" s="186" t="str">
        <x:v>BATH-EV-009</x:v>
      </x:c>
      <x:c r="I12" s="146"/>
    </x:row>
    <x:row r="13">
      <x:c r="A13" s="184" t="str">
        <x:v>BATH-SV-INSTALL</x:v>
      </x:c>
      <x:c r="B13" s="185" t="str">
        <x:v>施工区分</x:v>
      </x:c>
      <x:c r="C13" s="185" t="str">
        <x:v>—</x:v>
      </x:c>
      <x:c r="D13" s="185" t="str">
        <x:v>—</x:v>
      </x:c>
      <x:c r="E13" s="185" t="str">
        <x:v>標準 / 内嵌め（内付・半外付） / 内嵌め（外付）</x:v>
      </x:c>
      <x:c r="F13" s="185" t="str">
        <x:v>REQUIRED</x:v>
      </x:c>
      <x:c r="G13" s="185" t="str">
        <x:v>COMPLETE</x:v>
      </x:c>
      <x:c r="H13" s="186" t="str">
        <x:v>BATH-EV-009</x:v>
      </x:c>
      <x:c r="I13" s="146"/>
    </x:row>
    <x:row r="14">
      <x:c r="A14" s="187" t="str">
        <x:v>BATH-SV-CLEARANCE</x:v>
      </x:c>
      <x:c r="B14" s="188" t="str">
        <x:v>浴室側施工スペース</x:v>
      </x:c>
      <x:c r="C14" s="188" t="str">
        <x:v>—</x:v>
      </x:c>
      <x:c r="D14" s="188" t="str">
        <x:v>mm</x:v>
      </x:c>
      <x:c r="E14" s="188" t="str">
        <x:v>壁/額縁/浴槽等の干渉</x:v>
      </x:c>
      <x:c r="F14" s="188" t="str">
        <x:v>REQUIRED</x:v>
      </x:c>
      <x:c r="G14" s="188" t="str">
        <x:v>COMPLETE_WITH_EXTERNAL_CHECK</x:v>
      </x:c>
      <x:c r="H14" s="189" t="str">
        <x:v>BATH-EV-009</x:v>
      </x:c>
      <x:c r="I14" s="149"/>
    </x:row>
  </x:sheetData>
  <x:mergeCells>
    <x:mergeCell ref="A1:I1"/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6" hidden="0" customWidth="1"/>
    <x:col min="4" max="4" width="30" hidden="0" customWidth="1"/>
    <x:col min="5" max="5" width="92" hidden="0" customWidth="1"/>
    <x:col min="6" max="6" width="26" hidden="0" customWidth="1"/>
  </x:cols>
  <x:sheetData>
    <x:row r="1" ht="28" customHeight="1">
      <x:c r="A1" s="178" t="str">
        <x:v>99_QA｜浴室仕様 完成判定</x:v>
      </x:c>
      <x:c r="B1" s="178"/>
      <x:c r="C1" s="178"/>
      <x:c r="D1" s="178"/>
      <x:c r="E1" s="178"/>
      <x:c r="F1" s="178"/>
    </x:row>
    <x:row r="2" ht="40" customHeight="1">
      <x:c r="A2" s="179" t="str">
        <x:v>通常見積に必要な商品仕様はCOMPLETE。特殊現場・複合納まり等はCOMPLETE_WITH_EXTERNAL_CHECK。</x:v>
      </x:c>
      <x:c r="B2" s="179"/>
      <x:c r="C2" s="179"/>
      <x:c r="D2" s="179"/>
      <x:c r="E2" s="179"/>
      <x:c r="F2" s="179"/>
    </x:row>
    <x:row r="3" ht="30" customHeight="1">
      <x:c r="A3" s="32"/>
      <x:c r="B3" s="33"/>
      <x:c r="C3" s="33"/>
      <x:c r="D3" s="33"/>
      <x:c r="E3" s="33"/>
      <x:c r="F3" s="34"/>
    </x:row>
    <x:row r="4">
      <x:c r="A4" s="220" t="str">
        <x:v>qa_id</x:v>
      </x:c>
      <x:c r="B4" s="221" t="str">
        <x:v>phase</x:v>
      </x:c>
      <x:c r="C4" s="221" t="str">
        <x:v>項目</x:v>
      </x:c>
      <x:c r="D4" s="221" t="str">
        <x:v>status</x:v>
      </x:c>
      <x:c r="E4" s="221" t="str">
        <x:v>判定/残課題</x:v>
      </x:c>
      <x:c r="F4" s="222" t="str">
        <x:v>evidence</x:v>
      </x:c>
    </x:row>
    <x:row r="5">
      <x:c r="A5" s="184" t="str">
        <x:v>BATH-QA-01</x:v>
      </x:c>
      <x:c r="B5" s="185" t="str">
        <x:v>BATH-1</x:v>
      </x:c>
      <x:c r="C5" s="185" t="str">
        <x:v>商品体系/8窓種</x:v>
      </x:c>
      <x:c r="D5" s="226" t="str">
        <x:v>COMPLETE</x:v>
      </x:c>
      <x:c r="E5" s="185" t="str">
        <x:v>浴室専用ラインアップ確定</x:v>
      </x:c>
      <x:c r="F5" s="186" t="str">
        <x:v>BATH-EV-002,003,004</x:v>
      </x:c>
    </x:row>
    <x:row r="6">
      <x:c r="A6" s="184" t="str">
        <x:v>BATH-QA-02</x:v>
      </x:c>
      <x:c r="B6" s="185" t="str">
        <x:v>BATH-1</x:v>
      </x:c>
      <x:c r="C6" s="185" t="str">
        <x:v>枠</x:v>
      </x:c>
      <x:c r="D6" s="226" t="str">
        <x:v>COMPLETE</x:v>
      </x:c>
      <x:c r="E6" s="185" t="str">
        <x:v>引違い=標準/ブリッジ、他=標準</x:v>
      </x:c>
      <x:c r="F6" s="186" t="str">
        <x:v>BATH-EV-003,006</x:v>
      </x:c>
    </x:row>
    <x:row r="7">
      <x:c r="A7" s="184" t="str">
        <x:v>BATH-QA-03</x:v>
      </x:c>
      <x:c r="B7" s="185" t="str">
        <x:v>BATH-1</x:v>
      </x:c>
      <x:c r="C7" s="185" t="str">
        <x:v>改修モード/既設開口</x:v>
      </x:c>
      <x:c r="D7" s="226" t="str">
        <x:v>COMPLETE</x:v>
      </x:c>
      <x:c r="E7" s="185" t="str">
        <x:v>SB同時/窓単独＋開口パターン</x:v>
      </x:c>
      <x:c r="F7" s="186" t="str">
        <x:v>BATH-EV-003,009</x:v>
      </x:c>
    </x:row>
    <x:row r="8">
      <x:c r="A8" s="184" t="str">
        <x:v>BATH-QA-04</x:v>
      </x:c>
      <x:c r="B8" s="185" t="str">
        <x:v>BATH-1</x:v>
      </x:c>
      <x:c r="C8" s="185" t="str">
        <x:v>開口縮小/連窓/段窓</x:v>
      </x:c>
      <x:c r="D8" s="226" t="str">
        <x:v>COMPLETE</x:v>
      </x:c>
      <x:c r="E8" s="185" t="str">
        <x:v>構造化。無目露出不可</x:v>
      </x:c>
      <x:c r="F8" s="186" t="str">
        <x:v>BATH-EV-008,012</x:v>
      </x:c>
    </x:row>
    <x:row r="9">
      <x:c r="A9" s="184" t="str">
        <x:v>BATH-QA-05</x:v>
      </x:c>
      <x:c r="B9" s="185" t="str">
        <x:v>BATH-2</x:v>
      </x:c>
      <x:c r="C9" s="185" t="str">
        <x:v>採寸→出来寸</x:v>
      </x:c>
      <x:c r="D9" s="226" t="str">
        <x:v>COMPLETE</x:v>
      </x:c>
      <x:c r="E9" s="185" t="str">
        <x:v>WD=WS-10 / HD=HS-10</x:v>
      </x:c>
      <x:c r="F9" s="186" t="str">
        <x:v>BATH-EV-009</x:v>
      </x:c>
    </x:row>
    <x:row r="10">
      <x:c r="A10" s="184" t="str">
        <x:v>BATH-QA-06</x:v>
      </x:c>
      <x:c r="B10" s="185" t="str">
        <x:v>BATH-2</x:v>
      </x:c>
      <x:c r="C10" s="185" t="str">
        <x:v>単窓基本製作範囲</x:v>
      </x:c>
      <x:c r="D10" s="226" t="str">
        <x:v>COMPLETE</x:v>
      </x:c>
      <x:c r="E10" s="185" t="str">
        <x:v>開口別W/Hと公開式/点</x:v>
      </x:c>
      <x:c r="F10" s="186" t="str">
        <x:v>BATH-EV-006,007,008</x:v>
      </x:c>
    </x:row>
    <x:row r="11">
      <x:c r="A11" s="184" t="str">
        <x:v>BATH-QA-07</x:v>
      </x:c>
      <x:c r="B11" s="185" t="str">
        <x:v>BATH-2</x:v>
      </x:c>
      <x:c r="C11" s="185" t="str">
        <x:v>内嵌め/連段複合/ガラス面積/耐風圧</x:v>
      </x:c>
      <x:c r="D11" s="227" t="str">
        <x:v>COMPLETE_WITH_EXTERNAL_CHECK</x:v>
      </x:c>
      <x:c r="E11" s="185" t="str">
        <x:v>図形・特殊境界は公式確認</x:v>
      </x:c>
      <x:c r="F11" s="186" t="str">
        <x:v>BATH-EV-006,007,008,012</x:v>
      </x:c>
    </x:row>
    <x:row r="12">
      <x:c r="A12" s="184" t="str">
        <x:v>BATH-QA-08</x:v>
      </x:c>
      <x:c r="B12" s="185" t="str">
        <x:v>BATH-3</x:v>
      </x:c>
      <x:c r="C12" s="185" t="str">
        <x:v>色</x:v>
      </x:c>
      <x:c r="D12" s="226" t="str">
        <x:v>COMPLETE</x:v>
      </x:c>
      <x:c r="E12" s="185" t="str">
        <x:v>外観5/内観2自由、カバー分離</x:v>
      </x:c>
      <x:c r="F12" s="186" t="str">
        <x:v>BATH-EV-003,004</x:v>
      </x:c>
    </x:row>
    <x:row r="13">
      <x:c r="A13" s="184" t="str">
        <x:v>BATH-QA-09</x:v>
      </x:c>
      <x:c r="B13" s="185" t="str">
        <x:v>BATH-3</x:v>
      </x:c>
      <x:c r="C13" s="185" t="str">
        <x:v>網戸</x:v>
      </x:c>
      <x:c r="D13" s="226" t="str">
        <x:v>COMPLETE</x:v>
      </x:c>
      <x:c r="E13" s="185" t="str">
        <x:v>窓種別、引違い中桟無のみ</x:v>
      </x:c>
      <x:c r="F13" s="186" t="str">
        <x:v>BATH-EV-005</x:v>
      </x:c>
    </x:row>
    <x:row r="14">
      <x:c r="A14" s="184" t="str">
        <x:v>BATH-QA-10</x:v>
      </x:c>
      <x:c r="B14" s="185" t="str">
        <x:v>BATH-3</x:v>
      </x:c>
      <x:c r="C14" s="185" t="str">
        <x:v>複層ガラス</x:v>
      </x:c>
      <x:c r="D14" s="226" t="str">
        <x:v>COMPLETE</x:v>
      </x:c>
      <x:c r="E14" s="185" t="str">
        <x:v>一般/Low-E、中空層・スペーサー</x:v>
      </x:c>
      <x:c r="F14" s="186" t="str">
        <x:v>BATH-EV-004,010</x:v>
      </x:c>
    </x:row>
    <x:row r="15">
      <x:c r="A15" s="184" t="str">
        <x:v>BATH-QA-11</x:v>
      </x:c>
      <x:c r="B15" s="185" t="str">
        <x:v>BATH-3</x:v>
      </x:c>
      <x:c r="C15" s="185" t="str">
        <x:v>トリプル</x:v>
      </x:c>
      <x:c r="D15" s="226" t="str">
        <x:v>COMPLETE</x:v>
      </x:c>
      <x:c r="E15" s="185" t="str">
        <x:v>上げ下げ窓FSのみ</x:v>
      </x:c>
      <x:c r="F15" s="186" t="str">
        <x:v>BATH-EV-004,010</x:v>
      </x:c>
    </x:row>
    <x:row r="16">
      <x:c r="A16" s="184" t="str">
        <x:v>BATH-QA-12</x:v>
      </x:c>
      <x:c r="B16" s="185" t="str">
        <x:v>BATH-4</x:v>
      </x:c>
      <x:c r="C16" s="185" t="str">
        <x:v>浴室タイプ/壁・額縁条件</x:v>
      </x:c>
      <x:c r="D16" s="226" t="str">
        <x:v>COMPLETE</x:v>
      </x:c>
      <x:c r="E16" s="185" t="str">
        <x:v>在来→SB/SB→SB/窓単独</x:v>
      </x:c>
      <x:c r="F16" s="186" t="str">
        <x:v>BATH-EV-009</x:v>
      </x:c>
    </x:row>
    <x:row r="17">
      <x:c r="A17" s="184" t="str">
        <x:v>BATH-QA-13</x:v>
      </x:c>
      <x:c r="B17" s="185" t="str">
        <x:v>BATH-4</x:v>
      </x:c>
      <x:c r="C17" s="185" t="str">
        <x:v>防水・干渉特殊条件</x:v>
      </x:c>
      <x:c r="D17" s="227" t="str">
        <x:v>COMPLETE_WITH_EXTERNAL_CHECK</x:v>
      </x:c>
      <x:c r="E17" s="185" t="str">
        <x:v>現地施工可否へ</x:v>
      </x:c>
      <x:c r="F17" s="186" t="str">
        <x:v>BATH-EV-009</x:v>
      </x:c>
    </x:row>
    <x:row r="18">
      <x:c r="A18" s="184" t="str">
        <x:v>BATH-QA-14</x:v>
      </x:c>
      <x:c r="B18" s="185" t="str">
        <x:v>BATH-5</x:v>
      </x:c>
      <x:c r="C18" s="185" t="str">
        <x:v>有償品/依存</x:v>
      </x:c>
      <x:c r="D18" s="226" t="str">
        <x:v>COMPLETE</x:v>
      </x:c>
      <x:c r="E18" s="185" t="str">
        <x:v>必須追加・併用不可を構造化</x:v>
      </x:c>
      <x:c r="F18" s="186" t="str">
        <x:v>BATH-EV-005,011</x:v>
      </x:c>
    </x:row>
    <x:row r="19">
      <x:c r="A19" s="184" t="str">
        <x:v>BATH-QA-15</x:v>
      </x:c>
      <x:c r="B19" s="185" t="str">
        <x:v>BATH-6</x:v>
      </x:c>
      <x:c r="C19" s="185" t="str">
        <x:v>既設互換/現調</x:v>
      </x:c>
      <x:c r="D19" s="226" t="str">
        <x:v>COMPLETE</x:v>
      </x:c>
      <x:c r="E19" s="185" t="str">
        <x:v>材質・3点採寸・補強金具・見付</x:v>
      </x:c>
      <x:c r="F19" s="186" t="str">
        <x:v>BATH-EV-009</x:v>
      </x:c>
    </x:row>
    <x:row r="20">
      <x:c r="A20" s="184" t="str">
        <x:v>BATH-QA-16</x:v>
      </x:c>
      <x:c r="B20" s="185" t="str">
        <x:v>BATH-7</x:v>
      </x:c>
      <x:c r="C20" s="185" t="str">
        <x:v>共通参照</x:v>
      </x:c>
      <x:c r="D20" s="226" t="str">
        <x:v>COMPLETE</x:v>
      </x:c>
      <x:c r="E20" s="185" t="str">
        <x:v>重複回避・浴室差分優先</x:v>
      </x:c>
      <x:c r="F20" s="186" t="str">
        <x:v>—</x:v>
      </x:c>
    </x:row>
    <x:row r="21">
      <x:c r="A21" s="184" t="str">
        <x:v>BATH-QA-17</x:v>
      </x:c>
      <x:c r="B21" s="185" t="str">
        <x:v>BATH-7</x:v>
      </x:c>
      <x:c r="C21" s="185" t="str">
        <x:v>Evidence</x:v>
      </x:c>
      <x:c r="D21" s="226" t="str">
        <x:v>COMPLETE</x:v>
      </x:c>
      <x:c r="E21" s="185" t="str">
        <x:v>BATH-EV-001～012</x:v>
      </x:c>
      <x:c r="F21" s="186" t="str">
        <x:v>—</x:v>
      </x:c>
    </x:row>
    <x:row r="22">
      <x:c r="A22" s="187" t="str">
        <x:v>BATH-QA-18</x:v>
      </x:c>
      <x:c r="B22" s="188" t="str">
        <x:v>Scope</x:v>
      </x:c>
      <x:c r="C22" s="188" t="str">
        <x:v>マンション/防火戸/アタッチ枠</x:v>
      </x:c>
      <x:c r="D22" s="228" t="str">
        <x:v>NOT_APPLICABLE</x:v>
      </x:c>
      <x:c r="E22" s="188" t="str">
        <x:v>別マスター</x:v>
      </x:c>
      <x:c r="F22" s="189" t="str">
        <x:v>BATH-EV-002</x:v>
      </x:c>
    </x:row>
  </x:sheetData>
  <x:mergeCells>
    <x:mergeCell ref="A1:F1"/>
    <x:mergeCell ref="A2:F2"/>
  </x:mergeCells>
  <x:conditionalFormatting sqref="D4:D20">
    <x:cfRule type="expression" dxfId="0" priority="1">
      <x:formula>D4="COMPLETE"</x:formula>
    </x:cfRule>
    <x:cfRule type="expression" dxfId="1" priority="2">
      <x:formula>D4="PARTIAL"</x:formula>
    </x:cfRule>
    <x:cfRule type="expression" dxfId="2" priority="3">
      <x:formula>D4="UNCONFIRMED"</x:formula>
    </x:cfRule>
    <x:cfRule type="expression" dxfId="3" priority="4">
      <x:formula>D4="NOT_APPLICABLE"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32" hidden="0" customWidth="1"/>
    <x:col min="4" max="4" width="40" hidden="0" customWidth="1"/>
    <x:col min="5" max="5" width="30" hidden="0" customWidth="1"/>
    <x:col min="6" max="6" width="22" hidden="0" customWidth="1"/>
  </x:cols>
  <x:sheetData>
    <x:row r="1" ht="28" customHeight="1">
      <x:c r="A1" s="178" t="str">
        <x:v>04A_開口構成｜浴室仕様</x:v>
      </x:c>
      <x:c r="B1" s="178"/>
      <x:c r="C1" s="178"/>
      <x:c r="D1" s="178"/>
      <x:c r="E1" s="178"/>
      <x:c r="F1" s="178"/>
    </x:row>
    <x:row r="2" ht="34" customHeight="1">
      <x:c r="A2" s="11"/>
      <x:c r="B2" s="11"/>
      <x:c r="C2" s="11"/>
      <x:c r="D2" s="11"/>
      <x:c r="E2" s="11"/>
      <x:c r="F2" s="11"/>
    </x:row>
    <x:row r="3">
      <x:c r="A3" s="181" t="str">
        <x:v>opening_configuration_id</x:v>
      </x:c>
      <x:c r="B3" s="182" t="str">
        <x:v>名称</x:v>
      </x:c>
      <x:c r="C3" s="182" t="str">
        <x:v>構造</x:v>
      </x:c>
      <x:c r="D3" s="182" t="str">
        <x:v>適用</x:v>
      </x:c>
      <x:c r="E3" s="182" t="str">
        <x:v>status</x:v>
      </x:c>
      <x:c r="F3" s="183" t="str">
        <x:v>evidence</x:v>
      </x:c>
    </x:row>
    <x:row r="4" ht="30" customHeight="1">
      <x:c r="A4" s="196" t="str">
        <x:v>SINGLE</x:v>
      </x:c>
      <x:c r="B4" s="198" t="str">
        <x:v>単窓</x:v>
      </x:c>
      <x:c r="C4" s="198" t="str">
        <x:v>基本</x:v>
      </x:c>
      <x:c r="D4" s="198" t="str">
        <x:v>全窓種</x:v>
      </x:c>
      <x:c r="E4" s="198" t="str">
        <x:v>COMPLETE</x:v>
      </x:c>
      <x:c r="F4" s="197" t="str">
        <x:v>BATH-EV-003</x:v>
      </x:c>
    </x:row>
    <x:row r="5">
      <x:c r="A5" s="184" t="str">
        <x:v>COUPLED</x:v>
      </x:c>
      <x:c r="B5" s="185" t="str">
        <x:v>連窓</x:v>
      </x:c>
      <x:c r="C5" s="185" t="str">
        <x:v>連窓方立21mm</x:v>
      </x:c>
      <x:c r="D5" s="185" t="str">
        <x:v>開口縮小/窓種変更</x:v>
      </x:c>
      <x:c r="E5" s="185" t="str">
        <x:v>COMPLETE</x:v>
      </x:c>
      <x:c r="F5" s="186" t="str">
        <x:v>BATH-EV-008</x:v>
      </x:c>
    </x:row>
    <x:row r="6">
      <x:c r="A6" s="184" t="str">
        <x:v>STACKED</x:v>
      </x:c>
      <x:c r="B6" s="185" t="str">
        <x:v>段窓</x:v>
      </x:c>
      <x:c r="C6" s="185" t="str">
        <x:v>無目43mm</x:v>
      </x:c>
      <x:c r="D6" s="185" t="str">
        <x:v>開口縮小/窓種変更</x:v>
      </x:c>
      <x:c r="E6" s="185" t="str">
        <x:v>COMPLETE_WITH_EXTERNAL_CHECK</x:v>
      </x:c>
      <x:c r="F6" s="186" t="str">
        <x:v>BATH-EV-008,012</x:v>
      </x:c>
    </x:row>
    <x:row r="7">
      <x:c r="A7" s="184" t="str">
        <x:v>REDUCTION_COUPLED_LEFT</x:v>
      </x:c>
      <x:c r="B7" s="185" t="str">
        <x:v>開口縮小・片側パネル左</x:v>
      </x:c>
      <x:c r="C7" s="185" t="str">
        <x:v>断熱パネル＋連窓</x:v>
      </x:c>
      <x:c r="D7" s="185" t="str">
        <x:v>SB同時交換</x:v>
      </x:c>
      <x:c r="E7" s="185" t="str">
        <x:v>COMPLETE</x:v>
      </x:c>
      <x:c r="F7" s="186" t="str">
        <x:v>BATH-EV-008,012</x:v>
      </x:c>
    </x:row>
    <x:row r="8">
      <x:c r="A8" s="184" t="str">
        <x:v>REDUCTION_COUPLED_RIGHT</x:v>
      </x:c>
      <x:c r="B8" s="185" t="str">
        <x:v>開口縮小・片側パネル右</x:v>
      </x:c>
      <x:c r="C8" s="185" t="str">
        <x:v>断熱パネル＋連窓</x:v>
      </x:c>
      <x:c r="D8" s="185" t="str">
        <x:v>SB同時交換</x:v>
      </x:c>
      <x:c r="E8" s="185" t="str">
        <x:v>COMPLETE</x:v>
      </x:c>
      <x:c r="F8" s="186" t="str">
        <x:v>BATH-EV-008,012</x:v>
      </x:c>
    </x:row>
    <x:row r="9">
      <x:c r="A9" s="184" t="str">
        <x:v>REDUCTION_COUPLED_BOTH</x:v>
      </x:c>
      <x:c r="B9" s="185" t="str">
        <x:v>開口縮小・両側パネル</x:v>
      </x:c>
      <x:c r="C9" s="185" t="str">
        <x:v>断熱パネル＋連窓</x:v>
      </x:c>
      <x:c r="D9" s="185" t="str">
        <x:v>SB同時交換</x:v>
      </x:c>
      <x:c r="E9" s="185" t="str">
        <x:v>COMPLETE</x:v>
      </x:c>
      <x:c r="F9" s="186" t="str">
        <x:v>BATH-EV-008,012</x:v>
      </x:c>
    </x:row>
    <x:row r="10">
      <x:c r="A10" s="184" t="str">
        <x:v>REDUCTION_STACKED_TOP</x:v>
      </x:c>
      <x:c r="B10" s="185" t="str">
        <x:v>開口縮小・上部パネル</x:v>
      </x:c>
      <x:c r="C10" s="185" t="str">
        <x:v>断熱パネル＋段窓</x:v>
      </x:c>
      <x:c r="D10" s="185" t="str">
        <x:v>SB同時交換</x:v>
      </x:c>
      <x:c r="E10" s="185" t="str">
        <x:v>COMPLETE_WITH_EXTERNAL_CHECK</x:v>
      </x:c>
      <x:c r="F10" s="186" t="str">
        <x:v>BATH-EV-008,012</x:v>
      </x:c>
    </x:row>
    <x:row r="11">
      <x:c r="A11" s="187" t="str">
        <x:v>REDUCTION_STACKED_BOTTOM</x:v>
      </x:c>
      <x:c r="B11" s="188" t="str">
        <x:v>開口縮小・下部パネル</x:v>
      </x:c>
      <x:c r="C11" s="188" t="str">
        <x:v>断熱パネル＋段窓</x:v>
      </x:c>
      <x:c r="D11" s="188" t="str">
        <x:v>SB同時交換</x:v>
      </x:c>
      <x:c r="E11" s="188" t="str">
        <x:v>COMPLETE_WITH_EXTERNAL_CHECK</x:v>
      </x:c>
      <x:c r="F11" s="189" t="str">
        <x:v>BATH-EV-008,012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4" max="4" width="20" hidden="0" customWidth="1"/>
    <x:col min="5" max="5" width="44" hidden="0" customWidth="1"/>
    <x:col min="6" max="6" width="26" hidden="0" customWidth="1"/>
    <x:col min="7" max="7" width="60" hidden="0" customWidth="1"/>
  </x:cols>
  <x:sheetData>
    <x:row r="1">
      <x:c r="A1" s="200" t="str">
        <x:v>11_見積入力テスト｜浴室仕様</x:v>
      </x:c>
      <x:c r="B1" s="200"/>
      <x:c r="C1" s="200"/>
      <x:c r="D1" s="200"/>
      <x:c r="E1" s="200"/>
      <x:c r="F1" s="200"/>
      <x:c r="G1" s="200"/>
    </x:row>
    <x:row r="2">
      <x:c r="A2" s="229" t="str">
        <x:v>窓単独交換・引違い窓2枚建の一次判定。特殊現場条件は現調レイヤーへ分離。</x:v>
      </x:c>
      <x:c r="B2" s="229"/>
      <x:c r="C2" s="229"/>
      <x:c r="D2" s="229"/>
      <x:c r="E2" s="229"/>
      <x:c r="F2" s="229"/>
      <x:c r="G2" s="229"/>
    </x:row>
    <x:row r="3">
      <x:c r="A3" s="90"/>
      <x:c r="B3" s="91"/>
      <x:c r="C3" s="92"/>
      <x:c r="D3" s="91"/>
      <x:c r="E3" s="91"/>
      <x:c r="F3" s="93"/>
    </x:row>
    <x:row r="4">
      <x:c r="A4" s="192" t="str">
        <x:v>項目</x:v>
      </x:c>
      <x:c r="B4" s="192" t="str">
        <x:v>入力/算出</x:v>
      </x:c>
      <x:c r="C4" s="122"/>
      <x:c r="D4" s="192" t="str">
        <x:v>判定</x:v>
      </x:c>
      <x:c r="E4" s="192" t="str">
        <x:v>結果</x:v>
      </x:c>
      <x:c r="F4" s="192" t="str">
        <x:v>根拠</x:v>
      </x:c>
      <x:c r="G4" s="192" t="str">
        <x:v>備考</x:v>
      </x:c>
    </x:row>
    <x:row r="5">
      <x:c r="A5" s="122" t="str">
        <x:v>variation</x:v>
      </x:c>
      <x:c r="B5" s="122" t="str">
        <x:v>RPL_BATH</x:v>
      </x:c>
      <x:c r="C5" s="122"/>
      <x:c r="D5" s="122" t="str">
        <x:v>出来寸</x:v>
      </x:c>
      <x:c r="E5" s="122" t="str">
        <x:f>IF(AND(B12=B10-10,B13=B11-10),"OK","NG")</x:f>
        <x:v>OK</x:v>
      </x:c>
      <x:c r="F5" s="122" t="str">
        <x:v>BATH-EV-009</x:v>
      </x:c>
      <x:c r="G5" s="122" t="str">
        <x:v>WD/HD式</x:v>
      </x:c>
    </x:row>
    <x:row r="6">
      <x:c r="A6" s="122" t="str">
        <x:v>浴室改修モード</x:v>
      </x:c>
      <x:c r="B6" s="122" t="str">
        <x:v>WINDOW_ONLY</x:v>
      </x:c>
      <x:c r="C6" s="122"/>
      <x:c r="D6" s="122" t="str">
        <x:v>基本包絡</x:v>
      </x:c>
      <x:c r="E6" s="122" t="str">
        <x:f>IF(AND(B12&gt;=647,B12&lt;=1924,B13&gt;=337,B13&lt;=1601),"包絡内","範囲外")</x:f>
        <x:v>包絡内</x:v>
      </x:c>
      <x:c r="F6" s="122" t="str">
        <x:v>BATH-EV-006</x:v>
      </x:c>
      <x:c r="G6" s="122" t="str">
        <x:v>WINDOW_ONLY域</x:v>
      </x:c>
    </x:row>
    <x:row r="7">
      <x:c r="A7" s="122" t="str">
        <x:v>開口パターン</x:v>
      </x:c>
      <x:c r="B7" s="122" t="str">
        <x:v>WINDOW_ONLY</x:v>
      </x:c>
      <x:c r="C7" s="122"/>
      <x:c r="D7" s="122" t="str">
        <x:v>斜線上限</x:v>
      </x:c>
      <x:c r="E7" s="122" t="str">
        <x:f>IF(B12&lt;=966,IF(B13&lt;=1.7*(B12-17)-13,"境界内","境界外"),"境界内")</x:f>
        <x:v>境界内</x:v>
      </x:c>
      <x:c r="F7" s="122" t="str">
        <x:v>BATH-EV-006</x:v>
      </x:c>
      <x:c r="G7" s="122" t="str">
        <x:v>標準枠公式式</x:v>
      </x:c>
    </x:row>
    <x:row r="8">
      <x:c r="A8" s="122" t="str">
        <x:v>窓種</x:v>
      </x:c>
      <x:c r="B8" s="122" t="str">
        <x:v>RPL_BATH_SLD</x:v>
      </x:c>
      <x:c r="C8" s="122"/>
      <x:c r="D8" s="122" t="str">
        <x:v>網戸</x:v>
      </x:c>
      <x:c r="E8" s="122" t="str">
        <x:v>中桟無のみ</x:v>
      </x:c>
      <x:c r="F8" s="122" t="str">
        <x:v>BATH-EV-005</x:v>
      </x:c>
      <x:c r="G8" s="122" t="str">
        <x:v>浴室引違い</x:v>
      </x:c>
    </x:row>
    <x:row r="9">
      <x:c r="A9" s="122" t="str">
        <x:v>枠</x:v>
      </x:c>
      <x:c r="B9" s="122" t="str">
        <x:v>BATH-STD</x:v>
      </x:c>
      <x:c r="C9" s="122"/>
      <x:c r="D9" s="122" t="str">
        <x:v>ガラス</x:v>
      </x:c>
      <x:c r="E9" s="122" t="str">
        <x:v>Low-E複層：アルゴン＋樹脂 整合</x:v>
      </x:c>
      <x:c r="F9" s="122" t="str">
        <x:v>BATH-EV-010</x:v>
      </x:c>
      <x:c r="G9" s="122" t="str">
        <x:v>Low-E組合せ</x:v>
      </x:c>
    </x:row>
    <x:row r="10">
      <x:c r="A10" s="122" t="str">
        <x:v>採寸W (WS)</x:v>
      </x:c>
      <x:c r="B10" s="123" t="n">
        <x:v>1650</x:v>
      </x:c>
      <x:c r="C10" s="122"/>
      <x:c r="D10" s="122" t="str">
        <x:v>窓単独部材</x:v>
      </x:c>
      <x:c r="E10" s="122" t="str">
        <x:v>樹脂アングルカバー（見切材無）条件追加</x:v>
      </x:c>
      <x:c r="F10" s="122" t="str">
        <x:v>BATH-EV-003,005</x:v>
      </x:c>
      <x:c r="G10" s="122" t="str">
        <x:v>OP依存</x:v>
      </x:c>
    </x:row>
    <x:row r="11">
      <x:c r="A11" s="122" t="str">
        <x:v>採寸H (HS)</x:v>
      </x:c>
      <x:c r="B11" s="123" t="n">
        <x:v>1100</x:v>
      </x:c>
      <x:c r="C11" s="122"/>
      <x:c r="D11" s="122" t="str">
        <x:v>最終</x:v>
      </x:c>
      <x:c r="E11" s="122" t="str">
        <x:f>IF(AND(E5="OK",E6="包絡内",E7="境界内"),"通常候補として確定可","要確認")</x:f>
        <x:v>通常候補として確定可</x:v>
      </x:c>
      <x:c r="F11" s="122" t="str">
        <x:v>共通仕様</x:v>
      </x:c>
      <x:c r="G11" s="122" t="str">
        <x:v>特殊現場条件以外</x:v>
      </x:c>
    </x:row>
    <x:row r="12">
      <x:c r="A12" s="122" t="str">
        <x:v>出来寸W (WD)</x:v>
      </x:c>
      <x:c r="B12" s="123" t="n">
        <x:f>B10-10</x:f>
        <x:v>1640</x:v>
      </x:c>
      <x:c r="C12" s="122"/>
      <x:c r="D12" s="122"/>
      <x:c r="E12" s="122"/>
      <x:c r="F12" s="122"/>
      <x:c r="G12" s="122"/>
    </x:row>
    <x:row r="13">
      <x:c r="A13" s="122" t="str">
        <x:v>出来寸H (HD)</x:v>
      </x:c>
      <x:c r="B13" s="123" t="n">
        <x:f>B11-10</x:f>
        <x:v>1090</x:v>
      </x:c>
      <x:c r="C13" s="122"/>
      <x:c r="D13" s="122"/>
      <x:c r="E13" s="122"/>
      <x:c r="F13" s="122"/>
      <x:c r="G13" s="122"/>
    </x:row>
    <x:row r="14">
      <x:c r="A14" s="122" t="str">
        <x:v>外観色</x:v>
      </x:c>
      <x:c r="B14" s="122" t="str">
        <x:v>ブラック</x:v>
      </x:c>
      <x:c r="C14" s="122"/>
      <x:c r="D14" s="122"/>
      <x:c r="E14" s="122"/>
      <x:c r="F14" s="122"/>
      <x:c r="G14" s="122"/>
    </x:row>
    <x:row r="15">
      <x:c r="A15" s="122" t="str">
        <x:v>内観色</x:v>
      </x:c>
      <x:c r="B15" s="122" t="str">
        <x:v>プレシャスホワイトP</x:v>
      </x:c>
      <x:c r="C15" s="122"/>
      <x:c r="D15" s="122"/>
      <x:c r="E15" s="122"/>
      <x:c r="F15" s="122"/>
      <x:c r="G15" s="122"/>
    </x:row>
    <x:row r="16">
      <x:c r="A16" s="122" t="str">
        <x:v>網戸</x:v>
      </x:c>
      <x:c r="B16" s="122" t="str">
        <x:v>BATH-SCR-SLD</x:v>
      </x:c>
      <x:c r="C16" s="122"/>
      <x:c r="D16" s="122"/>
      <x:c r="E16" s="122"/>
      <x:c r="F16" s="122"/>
      <x:c r="G16" s="122"/>
    </x:row>
    <x:row r="17">
      <x:c r="A17" s="122" t="str">
        <x:v>ガラス</x:v>
      </x:c>
      <x:c r="B17" s="122" t="str">
        <x:v>BATH-GL-LOWE-CLEAR</x:v>
      </x:c>
      <x:c r="C17" s="122"/>
      <x:c r="D17" s="122"/>
      <x:c r="E17" s="122"/>
      <x:c r="F17" s="122"/>
      <x:c r="G17" s="122"/>
    </x:row>
    <x:row r="18">
      <x:c r="A18" s="122" t="str">
        <x:v>中空層</x:v>
      </x:c>
      <x:c r="B18" s="122" t="str">
        <x:v>アルゴン</x:v>
      </x:c>
      <x:c r="C18" s="122"/>
      <x:c r="D18" s="122"/>
      <x:c r="E18" s="122"/>
      <x:c r="F18" s="122"/>
      <x:c r="G18" s="122"/>
    </x:row>
    <x:row r="19">
      <x:c r="A19" s="122" t="str">
        <x:v>スペーサー</x:v>
      </x:c>
      <x:c r="B19" s="122" t="str">
        <x:v>樹脂</x:v>
      </x:c>
      <x:c r="C19" s="122"/>
      <x:c r="D19" s="122"/>
      <x:c r="E19" s="122"/>
      <x:c r="F19" s="122"/>
      <x:c r="G19" s="122"/>
    </x:row>
  </x:sheetData>
  <x:mergeCells>
    <x:mergeCell ref="A1:F1"/>
    <x:mergeCell ref="A2:F2"/>
    <x:mergeCell ref="A1:G1"/>
    <x:mergeCell ref="A2:G2"/>
  </x:mergeCells>
  <x:dataValidations count="4">
    <x:dataValidation type="list" sqref="B6">
      <x:formula1>"RPL_ROOM_SLD,RPL_ROOM_VS_OP,RPL_ROOM_VS_CAM,RPL_ROOM_HS_OP,RPL_ROOM_HS_CAM,RPL_ROOM_DHFS,RPL_ROOM_FIX_OUT,RPL_ROOM_FIX_IN"</x:formula1>
    </x:dataValidation>
    <x:dataValidation type="list" sqref="B7">
      <x:formula1>"RPL_STD,RPL_BRIDGE"</x:formula1>
    </x:dataValidation>
    <x:dataValidation type="list" sqref="B8">
      <x:formula1>"2枚建,4枚建"</x:formula1>
    </x:dataValidation>
    <x:dataValidation type="list" sqref="B9">
      <x:formula1>"マド,テラス"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22" hidden="0" customWidth="1"/>
    <x:col min="9" max="9" width="18" hidden="0" customWidth="1"/>
  </x:cols>
  <x:sheetData>
    <x:row r="1">
      <x:c r="A1" s="178" t="str">
        <x:v>10C_化粧カバー見付｜浴室仕様</x:v>
      </x:c>
      <x:c r="B1" s="178"/>
      <x:c r="C1" s="178"/>
      <x:c r="D1" s="178"/>
      <x:c r="E1" s="178"/>
      <x:c r="F1" s="178"/>
      <x:c r="G1" s="178"/>
      <x:c r="H1" s="178"/>
      <x:c r="I1" s="127"/>
    </x:row>
    <x:row r="2" ht="34" customHeight="1">
      <x:c r="A2" s="133"/>
      <x:c r="B2" s="133"/>
      <x:c r="C2" s="133"/>
      <x:c r="D2" s="133"/>
      <x:c r="E2" s="133"/>
      <x:c r="F2" s="133"/>
      <x:c r="G2" s="133"/>
      <x:c r="H2" s="133"/>
      <x:c r="I2" s="133"/>
    </x:row>
    <x:row r="3">
      <x:c r="A3" s="181" t="str">
        <x:v>rule_id</x:v>
      </x:c>
      <x:c r="B3" s="182" t="str">
        <x:v>frame_type</x:v>
      </x:c>
      <x:c r="C3" s="182" t="str">
        <x:v>cover_type</x:v>
      </x:c>
      <x:c r="D3" s="182" t="str">
        <x:v>上枠見付</x:v>
      </x:c>
      <x:c r="E3" s="182" t="str">
        <x:v>下枠見付</x:v>
      </x:c>
      <x:c r="F3" s="182" t="str">
        <x:v>縦枠見付</x:v>
      </x:c>
      <x:c r="G3" s="182" t="str">
        <x:v>status</x:v>
      </x:c>
      <x:c r="H3" s="183" t="str">
        <x:v>evidence</x:v>
      </x:c>
    </x:row>
    <x:row r="4">
      <x:c r="A4" s="196" t="str">
        <x:v>BATH-COV-STD-L</x:v>
      </x:c>
      <x:c r="B4" s="198" t="str">
        <x:v>標準枠</x:v>
      </x:c>
      <x:c r="C4" s="198" t="str">
        <x:v>大</x:v>
      </x:c>
      <x:c r="D4" s="198" t="str">
        <x:v>上≤84.5</x:v>
      </x:c>
      <x:c r="E4" s="198" t="str">
        <x:v>下≤98.5</x:v>
      </x:c>
      <x:c r="F4" s="198" t="str">
        <x:v>縦≤82.5</x:v>
      </x:c>
      <x:c r="G4" s="198" t="str">
        <x:v>COMPLETE</x:v>
      </x:c>
      <x:c r="H4" s="197" t="str">
        <x:v>BATH-EV-009</x:v>
      </x:c>
      <x:c r="I4" s="143"/>
    </x:row>
    <x:row r="5">
      <x:c r="A5" s="184" t="str">
        <x:v>BATH-COV-STD-LVM</x:v>
      </x:c>
      <x:c r="B5" s="185" t="str">
        <x:v>標準枠</x:v>
      </x:c>
      <x:c r="C5" s="185" t="str">
        <x:v>大（縦のみ中）</x:v>
      </x:c>
      <x:c r="D5" s="185" t="str">
        <x:v>上≤84.5</x:v>
      </x:c>
      <x:c r="E5" s="185" t="str">
        <x:v>下≤98.5</x:v>
      </x:c>
      <x:c r="F5" s="185" t="str">
        <x:v>縦≤32.5</x:v>
      </x:c>
      <x:c r="G5" s="185" t="str">
        <x:v>COMPLETE</x:v>
      </x:c>
      <x:c r="H5" s="186" t="str">
        <x:v>BATH-EV-009</x:v>
      </x:c>
      <x:c r="I5" s="146"/>
    </x:row>
    <x:row r="6">
      <x:c r="A6" s="184" t="str">
        <x:v>BATH-COV-STD-M</x:v>
      </x:c>
      <x:c r="B6" s="185" t="str">
        <x:v>標準枠</x:v>
      </x:c>
      <x:c r="C6" s="185" t="str">
        <x:v>中</x:v>
      </x:c>
      <x:c r="D6" s="185" t="str">
        <x:v>上≤49.5</x:v>
      </x:c>
      <x:c r="E6" s="185" t="str">
        <x:v>下≤63.5</x:v>
      </x:c>
      <x:c r="F6" s="185" t="str">
        <x:v>縦≤32.5</x:v>
      </x:c>
      <x:c r="G6" s="185" t="str">
        <x:v>COMPLETE</x:v>
      </x:c>
      <x:c r="H6" s="186" t="str">
        <x:v>BATH-EV-009</x:v>
      </x:c>
      <x:c r="I6" s="146"/>
    </x:row>
    <x:row r="7">
      <x:c r="A7" s="184" t="str">
        <x:v>BATH-COV-STD-MVL</x:v>
      </x:c>
      <x:c r="B7" s="185" t="str">
        <x:v>標準枠</x:v>
      </x:c>
      <x:c r="C7" s="185" t="str">
        <x:v>中（縦のみ大）</x:v>
      </x:c>
      <x:c r="D7" s="185" t="str">
        <x:v>上≤49.5</x:v>
      </x:c>
      <x:c r="E7" s="185" t="str">
        <x:v>下≤63.5</x:v>
      </x:c>
      <x:c r="F7" s="185" t="str">
        <x:v>縦≤82.5</x:v>
      </x:c>
      <x:c r="G7" s="185" t="str">
        <x:v>COMPLETE</x:v>
      </x:c>
      <x:c r="H7" s="186" t="str">
        <x:v>BATH-EV-009</x:v>
      </x:c>
      <x:c r="I7" s="146"/>
    </x:row>
    <x:row r="8">
      <x:c r="A8" s="184" t="str">
        <x:v>BATH-COV-STD-S</x:v>
      </x:c>
      <x:c r="B8" s="185" t="str">
        <x:v>標準枠</x:v>
      </x:c>
      <x:c r="C8" s="185" t="str">
        <x:v>小</x:v>
      </x:c>
      <x:c r="D8" s="185" t="str">
        <x:v>上≤24.5</x:v>
      </x:c>
      <x:c r="E8" s="185" t="str">
        <x:v>下≤38.5</x:v>
      </x:c>
      <x:c r="F8" s="185" t="str">
        <x:v>縦≤7.5</x:v>
      </x:c>
      <x:c r="G8" s="185" t="str">
        <x:v>COMPLETE</x:v>
      </x:c>
      <x:c r="H8" s="186" t="str">
        <x:v>BATH-EV-009</x:v>
      </x:c>
      <x:c r="I8" s="146"/>
    </x:row>
    <x:row r="9">
      <x:c r="A9" s="184" t="str">
        <x:v>BATH-COV-STD-SBM</x:v>
      </x:c>
      <x:c r="B9" s="185" t="str">
        <x:v>標準枠</x:v>
      </x:c>
      <x:c r="C9" s="185" t="str">
        <x:v>小（下のみ中）</x:v>
      </x:c>
      <x:c r="D9" s="185" t="str">
        <x:v>上≤24.5</x:v>
      </x:c>
      <x:c r="E9" s="185" t="str">
        <x:v>下≤63.5</x:v>
      </x:c>
      <x:c r="F9" s="185" t="str">
        <x:v>縦≤7.5</x:v>
      </x:c>
      <x:c r="G9" s="185" t="str">
        <x:v>COMPLETE</x:v>
      </x:c>
      <x:c r="H9" s="186" t="str">
        <x:v>BATH-EV-009</x:v>
      </x:c>
      <x:c r="I9" s="146"/>
    </x:row>
    <x:row r="10">
      <x:c r="A10" s="184" t="str">
        <x:v>BATH-COV-STD-XS</x:v>
      </x:c>
      <x:c r="B10" s="185" t="str">
        <x:v>標準枠</x:v>
      </x:c>
      <x:c r="C10" s="185" t="str">
        <x:v>特小</x:v>
      </x:c>
      <x:c r="D10" s="185" t="str">
        <x:v>上≤24.5</x:v>
      </x:c>
      <x:c r="E10" s="185" t="str">
        <x:v>下≤38.5</x:v>
      </x:c>
      <x:c r="F10" s="185" t="str">
        <x:v>縦—</x:v>
      </x:c>
      <x:c r="G10" s="185" t="str">
        <x:v>COMPLETE_WITH_EXTERNAL_CHECK</x:v>
      </x:c>
      <x:c r="H10" s="186" t="str">
        <x:v>BATH-EV-009</x:v>
      </x:c>
      <x:c r="I10" s="146"/>
    </x:row>
    <x:row r="11">
      <x:c r="A11" s="184" t="str">
        <x:v>BATH-COV-BRG-L</x:v>
      </x:c>
      <x:c r="B11" s="185" t="str">
        <x:v>ブリッジ枠</x:v>
      </x:c>
      <x:c r="C11" s="185" t="str">
        <x:v>大</x:v>
      </x:c>
      <x:c r="D11" s="185" t="str">
        <x:v>上≤84.5</x:v>
      </x:c>
      <x:c r="E11" s="185" t="str">
        <x:v>下≤93.5</x:v>
      </x:c>
      <x:c r="F11" s="185" t="str">
        <x:v>縦≤82.5</x:v>
      </x:c>
      <x:c r="G11" s="185" t="str">
        <x:v>COMPLETE</x:v>
      </x:c>
      <x:c r="H11" s="186" t="str">
        <x:v>BATH-EV-009</x:v>
      </x:c>
      <x:c r="I11" s="146"/>
    </x:row>
    <x:row r="12">
      <x:c r="A12" s="184" t="str">
        <x:v>BATH-COV-BRG-LVM</x:v>
      </x:c>
      <x:c r="B12" s="185" t="str">
        <x:v>ブリッジ枠</x:v>
      </x:c>
      <x:c r="C12" s="185" t="str">
        <x:v>大（縦のみ中）</x:v>
      </x:c>
      <x:c r="D12" s="185" t="str">
        <x:v>上≤84.5</x:v>
      </x:c>
      <x:c r="E12" s="185" t="str">
        <x:v>下≤93.5</x:v>
      </x:c>
      <x:c r="F12" s="185" t="str">
        <x:v>縦≤32.5</x:v>
      </x:c>
      <x:c r="G12" s="185" t="str">
        <x:v>COMPLETE</x:v>
      </x:c>
      <x:c r="H12" s="186" t="str">
        <x:v>BATH-EV-009</x:v>
      </x:c>
      <x:c r="I12" s="146"/>
    </x:row>
    <x:row r="13">
      <x:c r="A13" s="184" t="str">
        <x:v>BATH-COV-BRG-M</x:v>
      </x:c>
      <x:c r="B13" s="185" t="str">
        <x:v>ブリッジ枠</x:v>
      </x:c>
      <x:c r="C13" s="185" t="str">
        <x:v>中</x:v>
      </x:c>
      <x:c r="D13" s="185" t="str">
        <x:v>上≤49.5</x:v>
      </x:c>
      <x:c r="E13" s="185" t="str">
        <x:v>下≤58.5</x:v>
      </x:c>
      <x:c r="F13" s="185" t="str">
        <x:v>縦≤32.5</x:v>
      </x:c>
      <x:c r="G13" s="185" t="str">
        <x:v>COMPLETE</x:v>
      </x:c>
      <x:c r="H13" s="186" t="str">
        <x:v>BATH-EV-009</x:v>
      </x:c>
      <x:c r="I13" s="146"/>
    </x:row>
    <x:row r="14">
      <x:c r="A14" s="184" t="str">
        <x:v>BATH-COV-BRG-MVL</x:v>
      </x:c>
      <x:c r="B14" s="185" t="str">
        <x:v>ブリッジ枠</x:v>
      </x:c>
      <x:c r="C14" s="185" t="str">
        <x:v>中（縦のみ大）</x:v>
      </x:c>
      <x:c r="D14" s="185" t="str">
        <x:v>上≤49.5</x:v>
      </x:c>
      <x:c r="E14" s="185" t="str">
        <x:v>下≤58.5</x:v>
      </x:c>
      <x:c r="F14" s="185" t="str">
        <x:v>縦≤82.5</x:v>
      </x:c>
      <x:c r="G14" s="185" t="str">
        <x:v>COMPLETE</x:v>
      </x:c>
      <x:c r="H14" s="186" t="str">
        <x:v>BATH-EV-009</x:v>
      </x:c>
      <x:c r="I14" s="146"/>
    </x:row>
    <x:row r="15">
      <x:c r="A15" s="184" t="str">
        <x:v>BATH-COV-BRG-S</x:v>
      </x:c>
      <x:c r="B15" s="185" t="str">
        <x:v>ブリッジ枠</x:v>
      </x:c>
      <x:c r="C15" s="185" t="str">
        <x:v>小</x:v>
      </x:c>
      <x:c r="D15" s="185" t="str">
        <x:v>上≤24.5</x:v>
      </x:c>
      <x:c r="E15" s="185" t="str">
        <x:v>下≤33.5</x:v>
      </x:c>
      <x:c r="F15" s="185" t="str">
        <x:v>縦≤7.5</x:v>
      </x:c>
      <x:c r="G15" s="185" t="str">
        <x:v>COMPLETE</x:v>
      </x:c>
      <x:c r="H15" s="186" t="str">
        <x:v>BATH-EV-009</x:v>
      </x:c>
      <x:c r="I15" s="146"/>
    </x:row>
    <x:row r="16">
      <x:c r="A16" s="184" t="str">
        <x:v>BATH-COV-BRG-SBM</x:v>
      </x:c>
      <x:c r="B16" s="185" t="str">
        <x:v>ブリッジ枠</x:v>
      </x:c>
      <x:c r="C16" s="185" t="str">
        <x:v>小（下のみ中）</x:v>
      </x:c>
      <x:c r="D16" s="185" t="str">
        <x:v>上≤24.5</x:v>
      </x:c>
      <x:c r="E16" s="185" t="str">
        <x:v>下≤58.5</x:v>
      </x:c>
      <x:c r="F16" s="185" t="str">
        <x:v>縦≤7.5</x:v>
      </x:c>
      <x:c r="G16" s="185" t="str">
        <x:v>COMPLETE</x:v>
      </x:c>
      <x:c r="H16" s="186" t="str">
        <x:v>BATH-EV-009</x:v>
      </x:c>
      <x:c r="I16" s="149"/>
    </x:row>
    <x:row r="17">
      <x:c r="A17" s="187" t="str">
        <x:v>BATH-COV-BRG-XS</x:v>
      </x:c>
      <x:c r="B17" s="188" t="str">
        <x:v>ブリッジ枠</x:v>
      </x:c>
      <x:c r="C17" s="188" t="str">
        <x:v>特小</x:v>
      </x:c>
      <x:c r="D17" s="188" t="str">
        <x:v>上≤24.5</x:v>
      </x:c>
      <x:c r="E17" s="188" t="str">
        <x:v>下≤33.5</x:v>
      </x:c>
      <x:c r="F17" s="188" t="str">
        <x:v>縦—</x:v>
      </x:c>
      <x:c r="G17" s="188" t="str">
        <x:v>COMPLETE_WITH_EXTERNAL_CHECK</x:v>
      </x:c>
      <x:c r="H17" s="189" t="str">
        <x:v>BATH-EV-009</x:v>
      </x:c>
    </x:row>
  </x:sheetData>
  <x:mergeCells>
    <x:mergeCell ref="A1:I1"/>
    <x:mergeCell ref="A2:I2"/>
    <x:mergeCell ref="A1:H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8" hidden="0" customWidth="1"/>
    <x:col min="4" max="4" width="30" hidden="0" customWidth="1"/>
    <x:col min="5" max="5" width="70" hidden="0" customWidth="1"/>
    <x:col min="6" max="6" width="18" hidden="0" customWidth="1"/>
    <x:col min="7" max="7" width="22" hidden="0" customWidth="1"/>
  </x:cols>
  <x:sheetData>
    <x:row r="1">
      <x:c r="A1" s="178" t="str">
        <x:v>04B_浴室改修モード｜浴室仕様</x:v>
      </x:c>
      <x:c r="B1" s="178"/>
      <x:c r="C1" s="178"/>
      <x:c r="D1" s="178"/>
      <x:c r="E1" s="178"/>
      <x:c r="F1" s="178"/>
      <x:c r="G1" s="178"/>
    </x:row>
    <x:row r="3">
      <x:c r="A3" s="181" t="str">
        <x:v>mode_id</x:v>
      </x:c>
      <x:c r="B3" s="182" t="str">
        <x:v>公式区分</x:v>
      </x:c>
      <x:c r="C3" s="182" t="str">
        <x:v>existing_bath</x:v>
      </x:c>
      <x:c r="D3" s="182" t="str">
        <x:v>target_bath</x:v>
      </x:c>
      <x:c r="E3" s="182" t="str">
        <x:v>主要条件</x:v>
      </x:c>
      <x:c r="F3" s="182" t="str">
        <x:v>status</x:v>
      </x:c>
      <x:c r="G3" s="183" t="str">
        <x:v>evidence</x:v>
      </x:c>
    </x:row>
    <x:row r="4">
      <x:c r="A4" s="184" t="str">
        <x:v>SYSTEM_BATH_SIMULTANEOUS</x:v>
      </x:c>
      <x:c r="B4" s="185" t="str">
        <x:v>システムバス同時交換</x:v>
      </x:c>
      <x:c r="C4" s="185" t="str">
        <x:v>在来浴室 または システムバス</x:v>
      </x:c>
      <x:c r="D4" s="185" t="str">
        <x:v>システムバス</x:v>
      </x:c>
      <x:c r="E4" s="185" t="str">
        <x:v>新設サッシ施工後にSB施工</x:v>
      </x:c>
      <x:c r="F4" s="185" t="str">
        <x:v>COMPLETE</x:v>
      </x:c>
      <x:c r="G4" s="186" t="str">
        <x:v>BATH-EV-003,009</x:v>
      </x:c>
    </x:row>
    <x:row r="5">
      <x:c r="A5" s="187" t="str">
        <x:v>WINDOW_ONLY</x:v>
      </x:c>
      <x:c r="B5" s="188" t="str">
        <x:v>窓単独交換</x:v>
      </x:c>
      <x:c r="C5" s="188" t="str">
        <x:v>浴室</x:v>
      </x:c>
      <x:c r="D5" s="188" t="str">
        <x:v>既存浴室継続</x:v>
      </x:c>
      <x:c r="E5" s="188" t="str">
        <x:v>躯体へ新設枠固定可能＋額縁下地必要</x:v>
      </x:c>
      <x:c r="F5" s="188" t="str">
        <x:v>COMPLETE</x:v>
      </x:c>
      <x:c r="G5" s="189" t="str">
        <x:v>BATH-EV-003,009</x:v>
      </x:c>
    </x:row>
  </x:sheetData>
  <x:mergeCells>
    <x:mergeCell ref="A1:G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30" hidden="0" customWidth="1"/>
    <x:col min="4" max="4" width="20" hidden="0" customWidth="1"/>
    <x:col min="5" max="5" width="58" hidden="0" customWidth="1"/>
    <x:col min="6" max="6" width="18" hidden="0" customWidth="1"/>
    <x:col min="7" max="7" width="22" hidden="0" customWidth="1"/>
  </x:cols>
  <x:sheetData>
    <x:row r="1">
      <x:c r="A1" s="178" t="str">
        <x:v>04C_既設開口パターン｜浴室仕様</x:v>
      </x:c>
      <x:c r="B1" s="178"/>
      <x:c r="C1" s="178"/>
      <x:c r="D1" s="178"/>
      <x:c r="E1" s="178"/>
      <x:c r="F1" s="178"/>
      <x:c r="G1" s="178"/>
    </x:row>
    <x:row r="3">
      <x:c r="A3" s="181" t="str">
        <x:v>opening_pattern_id</x:v>
      </x:c>
      <x:c r="B3" s="182" t="str">
        <x:v>公式名称</x:v>
      </x:c>
      <x:c r="C3" s="182" t="str">
        <x:v>mode_id</x:v>
      </x:c>
      <x:c r="D3" s="182" t="str">
        <x:v>vertical_frame_view</x:v>
      </x:c>
      <x:c r="E3" s="182" t="str">
        <x:v>note</x:v>
      </x:c>
      <x:c r="F3" s="182" t="str">
        <x:v>status</x:v>
      </x:c>
      <x:c r="G3" s="183" t="str">
        <x:v>evidence</x:v>
      </x:c>
    </x:row>
    <x:row r="4">
      <x:c r="A4" s="184" t="str">
        <x:v>FULL95</x:v>
      </x:c>
      <x:c r="B4" s="185" t="str">
        <x:v>全面開口（見付95）</x:v>
      </x:c>
      <x:c r="C4" s="185" t="str">
        <x:v>SYSTEM_BATH_SIMULTANEOUS</x:v>
      </x:c>
      <x:c r="D4" s="185" t="str">
        <x:v>95</x:v>
      </x:c>
      <x:c r="E4" s="185" t="str">
        <x:v>—</x:v>
      </x:c>
      <x:c r="F4" s="185" t="str">
        <x:v>COMPLETE</x:v>
      </x:c>
      <x:c r="G4" s="186" t="str">
        <x:v>BATH-EV-003,009</x:v>
      </x:c>
    </x:row>
    <x:row r="5">
      <x:c r="A5" s="184" t="str">
        <x:v>FULL195</x:v>
      </x:c>
      <x:c r="B5" s="185" t="str">
        <x:v>全面開口（見付195）</x:v>
      </x:c>
      <x:c r="C5" s="185" t="str">
        <x:v>SYSTEM_BATH_SIMULTANEOUS</x:v>
      </x:c>
      <x:c r="D5" s="185" t="str">
        <x:v>195</x:v>
      </x:c>
      <x:c r="E5" s="185" t="str">
        <x:v>—</x:v>
      </x:c>
      <x:c r="F5" s="185" t="str">
        <x:v>COMPLETE</x:v>
      </x:c>
      <x:c r="G5" s="186" t="str">
        <x:v>BATH-EV-003,009</x:v>
      </x:c>
    </x:row>
    <x:row r="6">
      <x:c r="A6" s="184" t="str">
        <x:v>OFFSET_L95</x:v>
      </x:c>
      <x:c r="B6" s="185" t="str">
        <x:v>片寄開口 左寄（見付95）</x:v>
      </x:c>
      <x:c r="C6" s="185" t="str">
        <x:v>SYSTEM_BATH_SIMULTANEOUS</x:v>
      </x:c>
      <x:c r="D6" s="185" t="str">
        <x:v>95</x:v>
      </x:c>
      <x:c r="E6" s="185" t="str">
        <x:v>左寄</x:v>
      </x:c>
      <x:c r="F6" s="185" t="str">
        <x:v>COMPLETE</x:v>
      </x:c>
      <x:c r="G6" s="186" t="str">
        <x:v>BATH-EV-003,009</x:v>
      </x:c>
    </x:row>
    <x:row r="7">
      <x:c r="A7" s="184" t="str">
        <x:v>OFFSET_L195</x:v>
      </x:c>
      <x:c r="B7" s="185" t="str">
        <x:v>片寄開口 左寄（見付195）</x:v>
      </x:c>
      <x:c r="C7" s="185" t="str">
        <x:v>SYSTEM_BATH_SIMULTANEOUS</x:v>
      </x:c>
      <x:c r="D7" s="185" t="str">
        <x:v>195</x:v>
      </x:c>
      <x:c r="E7" s="185" t="str">
        <x:v>左寄</x:v>
      </x:c>
      <x:c r="F7" s="185" t="str">
        <x:v>COMPLETE</x:v>
      </x:c>
      <x:c r="G7" s="186" t="str">
        <x:v>BATH-EV-003,009</x:v>
      </x:c>
    </x:row>
    <x:row r="8">
      <x:c r="A8" s="184" t="str">
        <x:v>OFFSET_R95</x:v>
      </x:c>
      <x:c r="B8" s="185" t="str">
        <x:v>片寄開口 右寄（見付95）</x:v>
      </x:c>
      <x:c r="C8" s="185" t="str">
        <x:v>SYSTEM_BATH_SIMULTANEOUS</x:v>
      </x:c>
      <x:c r="D8" s="185" t="str">
        <x:v>95</x:v>
      </x:c>
      <x:c r="E8" s="185" t="str">
        <x:v>右寄</x:v>
      </x:c>
      <x:c r="F8" s="185" t="str">
        <x:v>COMPLETE</x:v>
      </x:c>
      <x:c r="G8" s="186" t="str">
        <x:v>BATH-EV-003,009</x:v>
      </x:c>
    </x:row>
    <x:row r="9">
      <x:c r="A9" s="184" t="str">
        <x:v>OFFSET_R195</x:v>
      </x:c>
      <x:c r="B9" s="185" t="str">
        <x:v>片寄開口 右寄（見付195）</x:v>
      </x:c>
      <x:c r="C9" s="185" t="str">
        <x:v>SYSTEM_BATH_SIMULTANEOUS</x:v>
      </x:c>
      <x:c r="D9" s="185" t="str">
        <x:v>195</x:v>
      </x:c>
      <x:c r="E9" s="185" t="str">
        <x:v>右寄</x:v>
      </x:c>
      <x:c r="F9" s="185" t="str">
        <x:v>COMPLETE</x:v>
      </x:c>
      <x:c r="G9" s="186" t="str">
        <x:v>BATH-EV-003,009</x:v>
      </x:c>
    </x:row>
    <x:row r="10">
      <x:c r="A10" s="184" t="str">
        <x:v>CUTOUT</x:v>
      </x:c>
      <x:c r="B10" s="185" t="str">
        <x:v>くり抜き開口</x:v>
      </x:c>
      <x:c r="C10" s="185" t="str">
        <x:v>SYSTEM_BATH_SIMULTANEOUS</x:v>
      </x:c>
      <x:c r="D10" s="185" t="str">
        <x:v>—</x:v>
      </x:c>
      <x:c r="E10" s="185" t="str">
        <x:v>既設開口活用</x:v>
      </x:c>
      <x:c r="F10" s="185" t="str">
        <x:v>COMPLETE</x:v>
      </x:c>
      <x:c r="G10" s="186" t="str">
        <x:v>BATH-EV-003,009</x:v>
      </x:c>
    </x:row>
    <x:row r="11">
      <x:c r="A11" s="187" t="str">
        <x:v>WINDOW_ONLY</x:v>
      </x:c>
      <x:c r="B11" s="188" t="str">
        <x:v>窓単独交換</x:v>
      </x:c>
      <x:c r="C11" s="188" t="str">
        <x:v>WINDOW_ONLY</x:v>
      </x:c>
      <x:c r="D11" s="188" t="str">
        <x:v>—</x:v>
      </x:c>
      <x:c r="E11" s="188" t="str">
        <x:v>窓単独製作域</x:v>
      </x:c>
      <x:c r="F11" s="188" t="str">
        <x:v>COMPLETE</x:v>
      </x:c>
      <x:c r="G11" s="189" t="str">
        <x:v>BATH-EV-003,009</x:v>
      </x:c>
    </x:row>
  </x:sheetData>
  <x:mergeCells>
    <x:mergeCell ref="A1:G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2" hidden="0" customWidth="1"/>
    <x:col min="4" max="4" width="30" hidden="0" customWidth="1"/>
    <x:col min="5" max="5" width="24" hidden="0" customWidth="1"/>
    <x:col min="6" max="6" width="30" hidden="0" customWidth="1"/>
    <x:col min="7" max="7" width="22" hidden="0" customWidth="1"/>
  </x:cols>
  <x:sheetData>
    <x:row r="1">
      <x:c r="A1" s="178" t="str">
        <x:v>04D_開口縮小部材｜浴室仕様</x:v>
      </x:c>
      <x:c r="B1" s="178"/>
      <x:c r="C1" s="178"/>
      <x:c r="D1" s="178"/>
      <x:c r="E1" s="178"/>
      <x:c r="F1" s="178"/>
      <x:c r="G1" s="178"/>
    </x:row>
    <x:row r="3">
      <x:c r="A3" s="181" t="str">
        <x:v>part_id</x:v>
      </x:c>
      <x:c r="B3" s="182" t="str">
        <x:v>部材</x:v>
      </x:c>
      <x:c r="C3" s="182" t="str">
        <x:v>寸法/式</x:v>
      </x:c>
      <x:c r="D3" s="182" t="str">
        <x:v>適用</x:v>
      </x:c>
      <x:c r="E3" s="182" t="str">
        <x:v>auto_mode</x:v>
      </x:c>
      <x:c r="F3" s="182" t="str">
        <x:v>status</x:v>
      </x:c>
      <x:c r="G3" s="183" t="str">
        <x:v>evidence</x:v>
      </x:c>
    </x:row>
    <x:row r="4">
      <x:c r="A4" s="184" t="str">
        <x:v>BATH-MULLION</x:v>
      </x:c>
      <x:c r="B4" s="185" t="str">
        <x:v>連窓方立</x:v>
      </x:c>
      <x:c r="C4" s="185" t="str">
        <x:v>21mm</x:v>
      </x:c>
      <x:c r="D4" s="185" t="str">
        <x:v>連窓</x:v>
      </x:c>
      <x:c r="E4" s="185" t="str">
        <x:v>AUTO</x:v>
      </x:c>
      <x:c r="F4" s="185" t="str">
        <x:v>COMPLETE</x:v>
      </x:c>
      <x:c r="G4" s="186" t="str">
        <x:v>BATH-EV-008</x:v>
      </x:c>
    </x:row>
    <x:row r="5">
      <x:c r="A5" s="184" t="str">
        <x:v>BATH-TRANSOM</x:v>
      </x:c>
      <x:c r="B5" s="185" t="str">
        <x:v>段窓無目</x:v>
      </x:c>
      <x:c r="C5" s="185" t="str">
        <x:v>43mm</x:v>
      </x:c>
      <x:c r="D5" s="185" t="str">
        <x:v>段窓</x:v>
      </x:c>
      <x:c r="E5" s="185" t="str">
        <x:v>EXTERNAL_CHECK</x:v>
      </x:c>
      <x:c r="F5" s="185" t="str">
        <x:v>COMPLETE_WITH_EXTERNAL_CHECK</x:v>
      </x:c>
      <x:c r="G5" s="186" t="str">
        <x:v>BATH-EV-008,012</x:v>
      </x:c>
    </x:row>
    <x:row r="6">
      <x:c r="A6" s="184" t="str">
        <x:v>BATH-PANEL</x:v>
      </x:c>
      <x:c r="B6" s="185" t="str">
        <x:v>断熱パネル</x:v>
      </x:c>
      <x:c r="C6" s="185" t="str">
        <x:v>開口タイプ別製作範囲</x:v>
      </x:c>
      <x:c r="D6" s="185" t="str">
        <x:v>開口縮小</x:v>
      </x:c>
      <x:c r="E6" s="185" t="str">
        <x:v>EXTERNAL_CHECK</x:v>
      </x:c>
      <x:c r="F6" s="185" t="str">
        <x:v>COMPLETE_WITH_EXTERNAL_CHECK</x:v>
      </x:c>
      <x:c r="G6" s="186" t="str">
        <x:v>BATH-EV-008,012</x:v>
      </x:c>
    </x:row>
    <x:row r="7">
      <x:c r="A7" s="184" t="str">
        <x:v>BATH-COUPLED-W</x:v>
      </x:c>
      <x:c r="B7" s="185" t="str">
        <x:v>連窓総W</x:v>
      </x:c>
      <x:c r="C7" s="185" t="str">
        <x:v>total_WD = WD1 + 21 + WD2</x:v>
      </x:c>
      <x:c r="D7" s="185" t="str">
        <x:v>連窓</x:v>
      </x:c>
      <x:c r="E7" s="185" t="str">
        <x:v>AUTO</x:v>
      </x:c>
      <x:c r="F7" s="185" t="str">
        <x:v>COMPLETE</x:v>
      </x:c>
      <x:c r="G7" s="186" t="str">
        <x:v>BATH-EV-008</x:v>
      </x:c>
    </x:row>
    <x:row r="8">
      <x:c r="A8" s="187" t="str">
        <x:v>BATH-EXPOSED-TRANSOM</x:v>
      </x:c>
      <x:c r="B8" s="188" t="str">
        <x:v>浴室無目露出</x:v>
      </x:c>
      <x:c r="C8" s="188" t="str">
        <x:v>不可</x:v>
      </x:c>
      <x:c r="D8" s="188" t="str">
        <x:v>浴室</x:v>
      </x:c>
      <x:c r="E8" s="188" t="str">
        <x:v>REJECT</x:v>
      </x:c>
      <x:c r="F8" s="188" t="str">
        <x:v>COMPLETE</x:v>
      </x:c>
      <x:c r="G8" s="189" t="str">
        <x:v>BATH-EV-012</x:v>
      </x:c>
    </x:row>
  </x:sheetData>
  <x:mergeCells>
    <x:mergeCell ref="A1:G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</x:cols>
  <x:sheetData>
    <x:row r="1">
      <x:c r="A1" s="178" t="str">
        <x:v>05C_開口ポイント｜浴室仕様 公式A/B/C/D</x:v>
      </x:c>
      <x:c r="B1" s="178"/>
      <x:c r="C1" s="178"/>
      <x:c r="D1" s="178"/>
      <x:c r="E1" s="178"/>
      <x:c r="F1" s="178"/>
      <x:c r="G1" s="178"/>
      <x:c r="H1" s="178"/>
    </x:row>
    <x:row r="3">
      <x:c r="A3" s="181" t="str">
        <x:v>window_type_id</x:v>
      </x:c>
      <x:c r="B3" s="182" t="str">
        <x:v>frame_type_id</x:v>
      </x:c>
      <x:c r="C3" s="182" t="str">
        <x:v>opening_pattern_group</x:v>
      </x:c>
      <x:c r="D3" s="182" t="str">
        <x:v>A</x:v>
      </x:c>
      <x:c r="E3" s="182" t="str">
        <x:v>B</x:v>
      </x:c>
      <x:c r="F3" s="182" t="str">
        <x:v>C</x:v>
      </x:c>
      <x:c r="G3" s="182" t="str">
        <x:v>D</x:v>
      </x:c>
      <x:c r="H3" s="183" t="str">
        <x:v>evidence</x:v>
      </x:c>
    </x:row>
    <x:row r="4">
      <x:c r="A4" s="184" t="str">
        <x:v>RPL_BATH_SLD</x:v>
      </x:c>
      <x:c r="B4" s="185" t="str">
        <x:v>BATH-STD</x:v>
      </x:c>
      <x:c r="C4" s="185" t="str">
        <x:v>FULL95</x:v>
      </x:c>
      <x:c r="D4" s="185" t="n">
        <x:v>774</x:v>
      </x:c>
      <x:c r="E4" s="185" t="n">
        <x:v>2051</x:v>
      </x:c>
      <x:c r="F4" s="185" t="n">
        <x:v>1093</x:v>
      </x:c>
      <x:c r="G4" s="185" t="n">
        <x:v>774</x:v>
      </x:c>
      <x:c r="H4" s="186" t="str">
        <x:v>BATH-EV-006</x:v>
      </x:c>
    </x:row>
    <x:row r="5">
      <x:c r="A5" s="184" t="str">
        <x:v>RPL_BATH_SLD</x:v>
      </x:c>
      <x:c r="B5" s="185" t="str">
        <x:v>BATH-STD</x:v>
      </x:c>
      <x:c r="C5" s="185" t="str">
        <x:v>FULL195</x:v>
      </x:c>
      <x:c r="D5" s="185" t="n">
        <x:v>973</x:v>
      </x:c>
      <x:c r="E5" s="185" t="n">
        <x:v>2250</x:v>
      </x:c>
      <x:c r="F5" s="185" t="n">
        <x:v>1292</x:v>
      </x:c>
      <x:c r="G5" s="185" t="n">
        <x:v>973</x:v>
      </x:c>
      <x:c r="H5" s="186" t="str">
        <x:v>BATH-EV-006</x:v>
      </x:c>
    </x:row>
    <x:row r="6">
      <x:c r="A6" s="184" t="str">
        <x:v>RPL_BATH_SLD</x:v>
      </x:c>
      <x:c r="B6" s="185" t="str">
        <x:v>BATH-STD</x:v>
      </x:c>
      <x:c r="C6" s="185" t="str">
        <x:v>OFFSET95</x:v>
      </x:c>
      <x:c r="D6" s="185" t="n">
        <x:v>711</x:v>
      </x:c>
      <x:c r="E6" s="185" t="n">
        <x:v>1988</x:v>
      </x:c>
      <x:c r="F6" s="185" t="n">
        <x:v>1030</x:v>
      </x:c>
      <x:c r="G6" s="185" t="n">
        <x:v>711</x:v>
      </x:c>
      <x:c r="H6" s="186" t="str">
        <x:v>BATH-EV-006</x:v>
      </x:c>
    </x:row>
    <x:row r="7">
      <x:c r="A7" s="184" t="str">
        <x:v>RPL_BATH_SLD</x:v>
      </x:c>
      <x:c r="B7" s="185" t="str">
        <x:v>BATH-STD</x:v>
      </x:c>
      <x:c r="C7" s="185" t="str">
        <x:v>OFFSET195</x:v>
      </x:c>
      <x:c r="D7" s="185" t="n">
        <x:v>810</x:v>
      </x:c>
      <x:c r="E7" s="185" t="n">
        <x:v>2087</x:v>
      </x:c>
      <x:c r="F7" s="185" t="n">
        <x:v>1129</x:v>
      </x:c>
      <x:c r="G7" s="185" t="n">
        <x:v>810</x:v>
      </x:c>
      <x:c r="H7" s="186" t="str">
        <x:v>BATH-EV-006</x:v>
      </x:c>
    </x:row>
    <x:row r="8">
      <x:c r="A8" s="184" t="str">
        <x:v>RPL_BATH_SLD</x:v>
      </x:c>
      <x:c r="B8" s="185" t="str">
        <x:v>BATH-STD</x:v>
      </x:c>
      <x:c r="C8" s="185" t="str">
        <x:v>CUTOUT</x:v>
      </x:c>
      <x:c r="D8" s="185" t="n">
        <x:v>647</x:v>
      </x:c>
      <x:c r="E8" s="185" t="n">
        <x:v>1924</x:v>
      </x:c>
      <x:c r="F8" s="185" t="n">
        <x:v>966</x:v>
      </x:c>
      <x:c r="G8" s="185" t="n">
        <x:v>647</x:v>
      </x:c>
      <x:c r="H8" s="186" t="str">
        <x:v>BATH-EV-006</x:v>
      </x:c>
    </x:row>
    <x:row r="9">
      <x:c r="A9" s="184" t="str">
        <x:v>RPL_BATH_SLD</x:v>
      </x:c>
      <x:c r="B9" s="185" t="str">
        <x:v>BATH-BRG</x:v>
      </x:c>
      <x:c r="C9" s="185" t="str">
        <x:v>FULL95</x:v>
      </x:c>
      <x:c r="D9" s="185" t="n">
        <x:v>744</x:v>
      </x:c>
      <x:c r="E9" s="185" t="n">
        <x:v>2051</x:v>
      </x:c>
      <x:c r="F9" s="185" t="n">
        <x:v>1093</x:v>
      </x:c>
      <x:c r="G9" s="185" t="n">
        <x:v>774</x:v>
      </x:c>
      <x:c r="H9" s="186" t="str">
        <x:v>BATH-EV-006</x:v>
      </x:c>
    </x:row>
    <x:row r="10">
      <x:c r="A10" s="184" t="str">
        <x:v>RPL_BATH_SLD</x:v>
      </x:c>
      <x:c r="B10" s="185" t="str">
        <x:v>BATH-BRG</x:v>
      </x:c>
      <x:c r="C10" s="185" t="str">
        <x:v>FULL195</x:v>
      </x:c>
      <x:c r="D10" s="185" t="n">
        <x:v>973</x:v>
      </x:c>
      <x:c r="E10" s="185" t="n">
        <x:v>2250</x:v>
      </x:c>
      <x:c r="F10" s="185" t="n">
        <x:v>1292</x:v>
      </x:c>
      <x:c r="G10" s="185" t="n">
        <x:v>973</x:v>
      </x:c>
      <x:c r="H10" s="186" t="str">
        <x:v>BATH-EV-006</x:v>
      </x:c>
    </x:row>
    <x:row r="11">
      <x:c r="A11" s="184" t="str">
        <x:v>RPL_BATH_SLD</x:v>
      </x:c>
      <x:c r="B11" s="185" t="str">
        <x:v>BATH-BRG</x:v>
      </x:c>
      <x:c r="C11" s="185" t="str">
        <x:v>OFFSET95</x:v>
      </x:c>
      <x:c r="D11" s="185" t="n">
        <x:v>711</x:v>
      </x:c>
      <x:c r="E11" s="185" t="n">
        <x:v>1988</x:v>
      </x:c>
      <x:c r="F11" s="185" t="n">
        <x:v>1030</x:v>
      </x:c>
      <x:c r="G11" s="185" t="n">
        <x:v>711</x:v>
      </x:c>
      <x:c r="H11" s="186" t="str">
        <x:v>BATH-EV-006</x:v>
      </x:c>
    </x:row>
    <x:row r="12">
      <x:c r="A12" s="184" t="str">
        <x:v>RPL_BATH_SLD</x:v>
      </x:c>
      <x:c r="B12" s="185" t="str">
        <x:v>BATH-BRG</x:v>
      </x:c>
      <x:c r="C12" s="185" t="str">
        <x:v>OFFSET195</x:v>
      </x:c>
      <x:c r="D12" s="185" t="n">
        <x:v>810</x:v>
      </x:c>
      <x:c r="E12" s="185" t="n">
        <x:v>2087</x:v>
      </x:c>
      <x:c r="F12" s="185" t="n">
        <x:v>1129</x:v>
      </x:c>
      <x:c r="G12" s="185" t="n">
        <x:v>810</x:v>
      </x:c>
      <x:c r="H12" s="186" t="str">
        <x:v>BATH-EV-006</x:v>
      </x:c>
    </x:row>
    <x:row r="13">
      <x:c r="A13" s="184" t="str">
        <x:v>RPL_BATH_SLD</x:v>
      </x:c>
      <x:c r="B13" s="185" t="str">
        <x:v>BATH-BRG</x:v>
      </x:c>
      <x:c r="C13" s="185" t="str">
        <x:v>CUTOUT</x:v>
      </x:c>
      <x:c r="D13" s="185" t="n">
        <x:v>647</x:v>
      </x:c>
      <x:c r="E13" s="185" t="n">
        <x:v>1924</x:v>
      </x:c>
      <x:c r="F13" s="185" t="n">
        <x:v>966</x:v>
      </x:c>
      <x:c r="G13" s="185" t="n">
        <x:v>647</x:v>
      </x:c>
      <x:c r="H13" s="186" t="str">
        <x:v>BATH-EV-006</x:v>
      </x:c>
    </x:row>
    <x:row r="14">
      <x:c r="A14" s="184" t="str">
        <x:v>RPL_BATH_HSOP</x:v>
      </x:c>
      <x:c r="B14" s="185" t="str">
        <x:v>BATH-STD</x:v>
      </x:c>
      <x:c r="C14" s="185" t="str">
        <x:v>OFFSET95</x:v>
      </x:c>
      <x:c r="D14" s="185" t="n">
        <x:v>381</x:v>
      </x:c>
      <x:c r="E14" s="185" t="n">
        <x:v>421</x:v>
      </x:c>
      <x:c r="F14" s="185" t="n">
        <x:v>861</x:v>
      </x:c>
      <x:c r="G14" s="185" t="n">
        <x:v>1316</x:v>
      </x:c>
      <x:c r="H14" s="186" t="str">
        <x:v>BATH-EV-007</x:v>
      </x:c>
    </x:row>
    <x:row r="15">
      <x:c r="A15" s="184" t="str">
        <x:v>RPL_BATH_HSOP</x:v>
      </x:c>
      <x:c r="B15" s="185" t="str">
        <x:v>BATH-STD</x:v>
      </x:c>
      <x:c r="C15" s="185" t="str">
        <x:v>OFFSET195</x:v>
      </x:c>
      <x:c r="D15" s="185" t="n">
        <x:v>480</x:v>
      </x:c>
      <x:c r="E15" s="185" t="n">
        <x:v>520</x:v>
      </x:c>
      <x:c r="F15" s="185" t="n">
        <x:v>960</x:v>
      </x:c>
      <x:c r="G15" s="185" t="n">
        <x:v>1415</x:v>
      </x:c>
      <x:c r="H15" s="186" t="str">
        <x:v>BATH-EV-007</x:v>
      </x:c>
    </x:row>
    <x:row r="16">
      <x:c r="A16" s="184" t="str">
        <x:v>RPL_BATH_HSOP</x:v>
      </x:c>
      <x:c r="B16" s="185" t="str">
        <x:v>BATH-STD</x:v>
      </x:c>
      <x:c r="C16" s="185" t="str">
        <x:v>CUTOUT</x:v>
      </x:c>
      <x:c r="D16" s="185" t="n">
        <x:v>317</x:v>
      </x:c>
      <x:c r="E16" s="185" t="n">
        <x:v>357</x:v>
      </x:c>
      <x:c r="F16" s="185" t="n">
        <x:v>797</x:v>
      </x:c>
      <x:c r="G16" s="185" t="n">
        <x:v>1252</x:v>
      </x:c>
      <x:c r="H16" s="186" t="str">
        <x:v>BATH-EV-007</x:v>
      </x:c>
    </x:row>
    <x:row r="17">
      <x:c r="A17" s="184" t="str">
        <x:v>RPL_BATH_HSCAM</x:v>
      </x:c>
      <x:c r="B17" s="185" t="str">
        <x:v>BATH-STD</x:v>
      </x:c>
      <x:c r="C17" s="185" t="str">
        <x:v>OFFSET95</x:v>
      </x:c>
      <x:c r="D17" s="185" t="n">
        <x:v>381</x:v>
      </x:c>
      <x:c r="E17" s="185" t="n">
        <x:v>421</x:v>
      </x:c>
      <x:c r="F17" s="185" t="n">
        <x:v>951</x:v>
      </x:c>
      <x:c r="G17" s="185"/>
      <x:c r="H17" s="186" t="str">
        <x:v>BATH-EV-007</x:v>
      </x:c>
    </x:row>
    <x:row r="18">
      <x:c r="A18" s="184" t="str">
        <x:v>RPL_BATH_HSCAM</x:v>
      </x:c>
      <x:c r="B18" s="185" t="str">
        <x:v>BATH-STD</x:v>
      </x:c>
      <x:c r="C18" s="185" t="str">
        <x:v>OFFSET195</x:v>
      </x:c>
      <x:c r="D18" s="185" t="n">
        <x:v>480</x:v>
      </x:c>
      <x:c r="E18" s="185" t="n">
        <x:v>520</x:v>
      </x:c>
      <x:c r="F18" s="185" t="n">
        <x:v>1050</x:v>
      </x:c>
      <x:c r="G18" s="185"/>
      <x:c r="H18" s="186" t="str">
        <x:v>BATH-EV-007</x:v>
      </x:c>
    </x:row>
    <x:row r="19">
      <x:c r="A19" s="184" t="str">
        <x:v>RPL_BATH_HSCAM</x:v>
      </x:c>
      <x:c r="B19" s="185" t="str">
        <x:v>BATH-STD</x:v>
      </x:c>
      <x:c r="C19" s="185" t="str">
        <x:v>CUTOUT</x:v>
      </x:c>
      <x:c r="D19" s="185" t="n">
        <x:v>317</x:v>
      </x:c>
      <x:c r="E19" s="185" t="n">
        <x:v>357</x:v>
      </x:c>
      <x:c r="F19" s="185" t="n">
        <x:v>887</x:v>
      </x:c>
      <x:c r="G19" s="185"/>
      <x:c r="H19" s="186" t="str">
        <x:v>BATH-EV-007</x:v>
      </x:c>
    </x:row>
    <x:row r="20">
      <x:c r="A20" s="184" t="str">
        <x:v>RPL_BATH_DHFS</x:v>
      </x:c>
      <x:c r="B20" s="185" t="str">
        <x:v>BATH-STD</x:v>
      </x:c>
      <x:c r="C20" s="185" t="str">
        <x:v>OFFSET95</x:v>
      </x:c>
      <x:c r="D20" s="185" t="n">
        <x:v>381</x:v>
      </x:c>
      <x:c r="E20" s="185" t="n">
        <x:v>421</x:v>
      </x:c>
      <x:c r="F20" s="185" t="n">
        <x:v>951</x:v>
      </x:c>
      <x:c r="G20" s="185"/>
      <x:c r="H20" s="186" t="str">
        <x:v>BATH-EV-007</x:v>
      </x:c>
    </x:row>
    <x:row r="21">
      <x:c r="A21" s="187" t="str">
        <x:v>RPL_BATH_DHFS</x:v>
      </x:c>
      <x:c r="B21" s="188" t="str">
        <x:v>BATH-STD</x:v>
      </x:c>
      <x:c r="C21" s="188" t="str">
        <x:v>CUTOUT</x:v>
      </x:c>
      <x:c r="D21" s="188" t="n">
        <x:v>317</x:v>
      </x:c>
      <x:c r="E21" s="188" t="n">
        <x:v>357</x:v>
      </x:c>
      <x:c r="F21" s="188" t="n">
        <x:v>887</x:v>
      </x:c>
      <x:c r="G21" s="188"/>
      <x:c r="H21" s="189" t="str">
        <x:v>BATH-EV-007</x:v>
      </x:c>
    </x:row>
  </x:sheetData>
  <x:mergeCells>
    <x:mergeCell ref="A1:H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8" hidden="0" customWidth="1"/>
    <x:col min="4" max="4" width="94" hidden="0" customWidth="1"/>
    <x:col min="5" max="5" width="28" hidden="0" customWidth="1"/>
    <x:col min="6" max="6" width="30" hidden="0" customWidth="1"/>
    <x:col min="7" max="7" width="22" hidden="0" customWidth="1"/>
  </x:cols>
  <x:sheetData>
    <x:row r="1">
      <x:c r="A1" s="178" t="str">
        <x:v>10D_浴室現場条件｜浴室仕様</x:v>
      </x:c>
      <x:c r="B1" s="178"/>
      <x:c r="C1" s="178"/>
      <x:c r="D1" s="178"/>
      <x:c r="E1" s="178"/>
      <x:c r="F1" s="178"/>
      <x:c r="G1" s="178"/>
    </x:row>
    <x:row r="3">
      <x:c r="A3" s="181" t="str">
        <x:v>condition_id</x:v>
      </x:c>
      <x:c r="B3" s="182" t="str">
        <x:v>mode</x:v>
      </x:c>
      <x:c r="C3" s="182" t="str">
        <x:v>condition_type</x:v>
      </x:c>
      <x:c r="D3" s="182" t="str">
        <x:v>official_condition</x:v>
      </x:c>
      <x:c r="E3" s="182" t="str">
        <x:v>action</x:v>
      </x:c>
      <x:c r="F3" s="182" t="str">
        <x:v>status</x:v>
      </x:c>
      <x:c r="G3" s="183" t="str">
        <x:v>evidence</x:v>
      </x:c>
    </x:row>
    <x:row r="4">
      <x:c r="A4" s="184" t="str">
        <x:v>BATH-COND-001</x:v>
      </x:c>
      <x:c r="B4" s="185" t="str">
        <x:v>SYSTEM_BATH_SIMULTANEOUS</x:v>
      </x:c>
      <x:c r="C4" s="185" t="str">
        <x:v>existing_bath=CONVENTIONAL</x:v>
      </x:c>
      <x:c r="D4" s="185" t="str">
        <x:v>タイル/モルタルを必要範囲はつり、新設サッシねじを躯体へ固定</x:v>
      </x:c>
      <x:c r="E4" s="185" t="str">
        <x:v>REQUIRED</x:v>
      </x:c>
      <x:c r="F4" s="185" t="str">
        <x:v>COMPLETE</x:v>
      </x:c>
      <x:c r="G4" s="186" t="str">
        <x:v>BATH-EV-009</x:v>
      </x:c>
    </x:row>
    <x:row r="5">
      <x:c r="A5" s="184" t="str">
        <x:v>BATH-COND-002</x:v>
      </x:c>
      <x:c r="B5" s="185" t="str">
        <x:v>SYSTEM_BATH_SIMULTANEOUS</x:v>
      </x:c>
      <x:c r="C5" s="185" t="str">
        <x:v>existing_bath=SYSTEM_BATH</x:v>
      </x:c>
      <x:c r="D5" s="185" t="str">
        <x:v>新設サッシを先行施工し、その後システムバス施工</x:v>
      </x:c>
      <x:c r="E5" s="185" t="str">
        <x:v>REQUIRED</x:v>
      </x:c>
      <x:c r="F5" s="185" t="str">
        <x:v>COMPLETE</x:v>
      </x:c>
      <x:c r="G5" s="186" t="str">
        <x:v>BATH-EV-009</x:v>
      </x:c>
    </x:row>
    <x:row r="6">
      <x:c r="A6" s="184" t="str">
        <x:v>BATH-COND-003</x:v>
      </x:c>
      <x:c r="B6" s="185" t="str">
        <x:v>WINDOW_ONLY</x:v>
      </x:c>
      <x:c r="C6" s="185" t="str">
        <x:v>fixing_substrate</x:v>
      </x:c>
      <x:c r="D6" s="185" t="str">
        <x:v>新設枠固定ねじが躯体へ確実に固定できること</x:v>
      </x:c>
      <x:c r="E6" s="185" t="str">
        <x:v>REQUIRED</x:v>
      </x:c>
      <x:c r="F6" s="185" t="str">
        <x:v>COMPLETE</x:v>
      </x:c>
      <x:c r="G6" s="186" t="str">
        <x:v>BATH-EV-009</x:v>
      </x:c>
    </x:row>
    <x:row r="7">
      <x:c r="A7" s="184" t="str">
        <x:v>BATH-COND-004</x:v>
      </x:c>
      <x:c r="B7" s="185" t="str">
        <x:v>WINDOW_ONLY</x:v>
      </x:c>
      <x:c r="C7" s="185" t="str">
        <x:v>trim_substrate</x:v>
      </x:c>
      <x:c r="D7" s="185" t="str">
        <x:v>システムバス額縁下に下地がある/追加可能</x:v>
      </x:c>
      <x:c r="E7" s="185" t="str">
        <x:v>REQUIRED</x:v>
      </x:c>
      <x:c r="F7" s="185" t="str">
        <x:v>COMPLETE</x:v>
      </x:c>
      <x:c r="G7" s="186" t="str">
        <x:v>BATH-EV-009</x:v>
      </x:c>
    </x:row>
    <x:row r="8">
      <x:c r="A8" s="184" t="str">
        <x:v>BATH-COND-005</x:v>
      </x:c>
      <x:c r="B8" s="185" t="str">
        <x:v>WINDOW_ONLY</x:v>
      </x:c>
      <x:c r="C8" s="185" t="str">
        <x:v>trim_clear_opening</x:v>
      </x:c>
      <x:c r="D8" s="185" t="str">
        <x:v>SB額縁内法が既設サッシ開口より小さい場合不可</x:v>
      </x:c>
      <x:c r="E8" s="185" t="str">
        <x:v>REJECT_IF</x:v>
      </x:c>
      <x:c r="F8" s="185" t="str">
        <x:v>COMPLETE</x:v>
      </x:c>
      <x:c r="G8" s="186" t="str">
        <x:v>BATH-EV-009</x:v>
      </x:c>
    </x:row>
    <x:row r="9">
      <x:c r="A9" s="184" t="str">
        <x:v>BATH-COND-006</x:v>
      </x:c>
      <x:c r="B9" s="185" t="str">
        <x:v>SYSTEM_BATH_SIMULTANEOUS</x:v>
      </x:c>
      <x:c r="C9" s="185" t="str">
        <x:v>transom_trim</x:v>
      </x:c>
      <x:c r="D9" s="185" t="str">
        <x:v>無目部SB額縁厚：勾配時≤8.5mm / 水平時≤9.5mm</x:v>
      </x:c>
      <x:c r="E9" s="185" t="str">
        <x:v>REQUIRED_IF_STACKED</x:v>
      </x:c>
      <x:c r="F9" s="185" t="str">
        <x:v>COMPLETE</x:v>
      </x:c>
      <x:c r="G9" s="186" t="str">
        <x:v>BATH-EV-009</x:v>
      </x:c>
    </x:row>
    <x:row r="10">
      <x:c r="A10" s="184" t="str">
        <x:v>BATH-COND-007</x:v>
      </x:c>
      <x:c r="B10" s="185" t="str">
        <x:v>ALL</x:v>
      </x:c>
      <x:c r="C10" s="185" t="str">
        <x:v>interference</x:v>
      </x:c>
      <x:c r="D10" s="185" t="str">
        <x:v>浴槽・水栓・手すり・換気設備・壁との干渉確認</x:v>
      </x:c>
      <x:c r="E10" s="185" t="str">
        <x:v>SURVEY</x:v>
      </x:c>
      <x:c r="F10" s="185" t="str">
        <x:v>COMPLETE_WITH_EXTERNAL_CHECK</x:v>
      </x:c>
      <x:c r="G10" s="186" t="str">
        <x:v>BATH-EV-009</x:v>
      </x:c>
    </x:row>
    <x:row r="11">
      <x:c r="A11" s="184" t="str">
        <x:v>BATH-COND-008</x:v>
      </x:c>
      <x:c r="B11" s="185" t="str">
        <x:v>ALL</x:v>
      </x:c>
      <x:c r="C11" s="185" t="str">
        <x:v>waterproofing</x:v>
      </x:c>
      <x:c r="D11" s="185" t="str">
        <x:v>シーリング/水密処理可能な施工スペース確保</x:v>
      </x:c>
      <x:c r="E11" s="185" t="str">
        <x:v>SURVEY</x:v>
      </x:c>
      <x:c r="F11" s="185" t="str">
        <x:v>COMPLETE_WITH_EXTERNAL_CHECK</x:v>
      </x:c>
      <x:c r="G11" s="186" t="str">
        <x:v>BATH-EV-009</x:v>
      </x:c>
    </x:row>
    <x:row r="12">
      <x:c r="A12" s="187" t="str">
        <x:v>BATH-COND-009</x:v>
      </x:c>
      <x:c r="B12" s="188" t="str">
        <x:v>SYSTEM_BATH_SIMULTANEOUS</x:v>
      </x:c>
      <x:c r="C12" s="188" t="str">
        <x:v>system_bath_trim</x:v>
      </x:c>
      <x:c r="D12" s="188" t="str">
        <x:v>額縁はシステムバス側オプション</x:v>
      </x:c>
      <x:c r="E12" s="188" t="str">
        <x:v>EXTERNAL_OPTION</x:v>
      </x:c>
      <x:c r="F12" s="188" t="str">
        <x:v>COMPLETE</x:v>
      </x:c>
      <x:c r="G12" s="189" t="str">
        <x:v>BATH-EV-004,009</x:v>
      </x:c>
    </x:row>
  </x:sheetData>
  <x:mergeCells>
    <x:mergeCell ref="A1:G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0" hidden="0" customWidth="1"/>
    <x:col min="3" max="3" width="64" hidden="0" customWidth="1"/>
    <x:col min="4" max="4" width="22" hidden="0" customWidth="1"/>
    <x:col min="5" max="5" width="66" hidden="0" customWidth="1"/>
    <x:col min="6" max="6" width="18" hidden="0" customWidth="1"/>
  </x:cols>
  <x:sheetData>
    <x:row r="1">
      <x:c r="A1" s="178" t="str">
        <x:v>12_共通参照｜浴室仕様</x:v>
      </x:c>
      <x:c r="B1" s="178"/>
      <x:c r="C1" s="178"/>
      <x:c r="D1" s="178"/>
      <x:c r="E1" s="178"/>
      <x:c r="F1" s="178"/>
    </x:row>
    <x:row r="3">
      <x:c r="A3" s="181" t="str">
        <x:v>shared_rule_id</x:v>
      </x:c>
      <x:c r="B3" s="182" t="str">
        <x:v>内容</x:v>
      </x:c>
      <x:c r="C3" s="182" t="str">
        <x:v>reference_url</x:v>
      </x:c>
      <x:c r="D3" s="182" t="str">
        <x:v>relation</x:v>
      </x:c>
      <x:c r="E3" s="182" t="str">
        <x:v>bath側の扱い</x:v>
      </x:c>
      <x:c r="F3" s="183" t="str">
        <x:v>status</x:v>
      </x:c>
    </x:row>
    <x:row r="4">
      <x:c r="A4" s="184" t="str">
        <x:v>SHARED-COMMON-SPEC</x:v>
      </x:c>
      <x:c r="B4" s="185" t="str">
        <x:v>サッシ商品マスター共通仕様</x:v>
      </x:c>
      <x:c r="C4" s="185" t="str">
        <x:v>https://docs.google.com/document/d/1MfixkbV1cZ__DtBknEKsix_nnrXQqjc-LZtXUHwJv_A/edit</x:v>
      </x:c>
      <x:c r="D4" s="185" t="str">
        <x:v>REFERENCE</x:v>
      </x:c>
      <x:c r="E4" s="185" t="str">
        <x:v>条件判定/Evidence/特殊境界方針</x:v>
      </x:c>
      <x:c r="F4" s="186" t="str">
        <x:v>COMPLETE</x:v>
      </x:c>
    </x:row>
    <x:row r="5">
      <x:c r="A5" s="184" t="str">
        <x:v>SHARED-RPL-STRUCTURE</x:v>
      </x:c>
      <x:c r="B5" s="185" t="str">
        <x:v>建物構造・防火基本条件</x:v>
      </x:c>
      <x:c r="C5" s="185" t="str">
        <x:v>https://drive.google.com/file/d/1uTlmHsO_czluTsfdpGMarw_q8qe43cp9/view</x:v>
      </x:c>
      <x:c r="D5" s="185" t="str">
        <x:v>REFERENCE</x:v>
      </x:c>
      <x:c r="E5" s="185" t="str">
        <x:v>共通適用＋浴室差分を10へ</x:v>
      </x:c>
      <x:c r="F5" s="186" t="str">
        <x:v>COMPLETE</x:v>
      </x:c>
    </x:row>
    <x:row r="6">
      <x:c r="A6" s="184" t="str">
        <x:v>SHARED-RPL-EXISTING</x:v>
      </x:c>
      <x:c r="B6" s="185" t="str">
        <x:v>既設窓基本互換</x:v>
      </x:c>
      <x:c r="C6" s="185" t="str">
        <x:v>https://drive.google.com/file/d/1uTlmHsO_czluTsfdpGMarw_q8qe43cp9/view</x:v>
      </x:c>
      <x:c r="D6" s="185" t="str">
        <x:v>REFERENCE</x:v>
      </x:c>
      <x:c r="E6" s="185" t="str">
        <x:v>共通表＋浴室差分を10Aへ</x:v>
      </x:c>
      <x:c r="F6" s="186" t="str">
        <x:v>COMPLETE</x:v>
      </x:c>
    </x:row>
    <x:row r="7">
      <x:c r="A7" s="184" t="str">
        <x:v>REFERENCE-RPL-TW</x:v>
      </x:c>
      <x:c r="B7" s="185" t="str">
        <x:v>TWタイプ完成版</x:v>
      </x:c>
      <x:c r="C7" s="185" t="str">
        <x:v>https://drive.google.com/file/d/1LYznqKExqc4rkII0g3vj27bpjbPufToU/view</x:v>
      </x:c>
      <x:c r="D7" s="185" t="str">
        <x:v>REFERENCE_ONLY</x:v>
      </x:c>
      <x:c r="E7" s="185" t="str">
        <x:v>構造思想のみ。仕様値流用なし</x:v>
      </x:c>
      <x:c r="F7" s="186" t="str">
        <x:v>COMPLETE</x:v>
      </x:c>
    </x:row>
    <x:row r="8">
      <x:c r="A8" s="187" t="str">
        <x:v>REFERENCE-RPL-EW</x:v>
      </x:c>
      <x:c r="B8" s="188" t="str">
        <x:v>EWタイプ完成版</x:v>
      </x:c>
      <x:c r="C8" s="188" t="str">
        <x:v>https://drive.google.com/file/d/1yb2JYoVJj5yArDBHHQ6JX_XXH3kYpfiL/view</x:v>
      </x:c>
      <x:c r="D8" s="188" t="str">
        <x:v>REFERENCE_ONLY</x:v>
      </x:c>
      <x:c r="E8" s="188" t="str">
        <x:v>構造思想のみ。仕様値流用なし</x:v>
      </x:c>
      <x:c r="F8" s="189" t="str">
        <x:v>COMPLETE</x:v>
      </x:c>
    </x:row>
  </x:sheetData>
  <x:mergeCells>
    <x:mergeCell ref="A1:F1"/>
  </x:mergeCells>
  <x:pageMargins left="0.7" right="0.7" top="0.75" bottom="0.75" header="0.3" footer="0.3"/>
</x:worksheet>
</file>