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replus-ui-v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d14ded14a419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90_Evidence" sheetId="1" r:id="R70c6e56916b34c6d"/>
    <sheet name="00_INDEX" sheetId="2" r:id="Rd99193d273104138"/>
    <sheet name="00_README" sheetId="3" r:id="R8b6feb23e1894e76"/>
    <sheet name="01_入力フロー" sheetId="4" r:id="R217a587c459e4788"/>
    <sheet name="02_取替方式" sheetId="5" r:id="Rf035899f4399451f"/>
    <sheet name="02A_仕様区分" sheetId="6" r:id="R9deb1695f62144bd"/>
    <sheet name="03_窓種" sheetId="7" r:id="R638a068440dd48f9"/>
    <sheet name="03A_枠仕様" sheetId="8" r:id="R091731448ce64e8b"/>
    <sheet name="03B_窓種枠設定" sheetId="9" r:id="Rdd8aa67ed3794cc5"/>
    <sheet name="04_窓種固有仕様" sheetId="10" r:id="R56540359ff0043ec"/>
    <sheet name="05_サイズルール" sheetId="11" r:id="R883cf115be6d42e0"/>
    <sheet name="05A_サイズ区間" sheetId="12" r:id="Ree16c238895e43c7"/>
    <sheet name="05B_境界ルール" sheetId="13" r:id="R06eb2388d2e044d4"/>
    <sheet name="06_色" sheetId="14" r:id="R548dd4dac61b4914"/>
    <sheet name="06A_色適用条件" sheetId="15" r:id="R5ea48338757b4af8"/>
    <sheet name="07_網戸" sheetId="16" r:id="R4cda38aecfff4624"/>
    <sheet name="07A_網戸適用条件" sheetId="17" r:id="R79e0a32133c84045"/>
    <sheet name="08_ガラス" sheetId="18" r:id="Rf5077606a3b24d2b"/>
    <sheet name="08A_ガラス適用条件" sheetId="19" r:id="R7167c938463e45ec"/>
    <sheet name="09_その他OP" sheetId="20" r:id="R8d7e33acdb36431f"/>
    <sheet name="09A_OP依存関係" sheetId="21" r:id="Ra4e28a4cb0e14d40"/>
    <sheet name="10_適用条件" sheetId="22" r:id="Re5716c4fd93c4679"/>
    <sheet name="10A_既設窓互換" sheetId="23" r:id="R2750f7632b6540fa"/>
    <sheet name="10B_現調項目" sheetId="24" r:id="Ref30eb655fdf4900"/>
    <sheet name="99_QA" sheetId="25" r:id="R54d39e2433344ab2"/>
    <sheet name="04A_開口構成" sheetId="26" r:id="Rbd7362f84694478f"/>
    <sheet name="11_見積入力テスト" sheetId="27" r:id="R613e086e47ec4ed6"/>
    <sheet name="10C_化粧カバー見付" sheetId="28" r:id="R9ed0cb77c0ea4b2a"/>
    <sheet name="12_共通参照" sheetId="29" r:id="Rdac8c77bbeee4d71"/>
    <sheet name="08B_地域条件" sheetId="30" r:id="R86bc85c272c2436f"/>
    <sheet name="09B_室内樹脂カバー" sheetId="31" r:id="R3bf407359da544ab"/>
    <sheet name="14_UI選択契約" sheetId="32" r:id="rIdReplusUiV9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i/>
      <x:sz val="9"/>
      <x:name val="Carlito"/>
    </x:font>
    <x:font>
      <x:b/>
      <x:sz val="9"/>
      <x:color rgb="FFFFFFFF"/>
      <x:name val="Carlito"/>
    </x:font>
    <x:font>
      <x:b/>
      <x:sz val="9"/>
      <x:color rgb="FF1F2937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</x:fills>
  <x:borders count="4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18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2" xfId="0" applyNumberFormat="1" applyFont="1" applyFill="1" applyBorder="1"/>
    <x:xf numFmtId="0" fontId="3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10" borderId="20" xfId="0" applyNumberFormat="1" applyFont="1" applyFill="1" applyBorder="1" applyAlignment="1">
      <x:alignment horizontal="center" vertical="center" wrapText="1"/>
    </x:xf>
    <x:xf numFmtId="0" fontId="3" fillId="10" borderId="21" xfId="0" applyNumberFormat="1" applyFont="1" applyFill="1" applyBorder="1" applyAlignment="1">
      <x:alignment horizontal="center" vertical="center" wrapText="1"/>
    </x:xf>
    <x:xf numFmtId="0" fontId="3" fillId="10" borderId="22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27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7" borderId="27" xfId="0" applyNumberFormat="1" applyFont="1" applyFill="1" applyBorder="1" applyAlignment="1">
      <x:alignment vertical="top" wrapText="1"/>
    </x:xf>
    <x:xf numFmtId="0" fontId="4" fillId="11" borderId="24" xfId="0" applyNumberFormat="1" applyFont="1" applyFill="1" applyBorder="1" applyAlignment="1">
      <x:alignment vertical="top" wrapText="1"/>
    </x:xf>
    <x:xf numFmtId="0" fontId="4" fillId="12" borderId="24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29" xfId="0" applyNumberFormat="1" applyFont="1" applyFill="1" applyBorder="1" applyAlignment="1">
      <x:alignment horizontal="center" vertical="center" wrapText="1"/>
    </x:xf>
    <x:xf numFmtId="0" fontId="3" fillId="16" borderId="30" xfId="0" applyNumberFormat="1" applyFont="1" applyFill="1" applyBorder="1" applyAlignment="1">
      <x:alignment horizontal="center" vertical="center" wrapText="1"/>
    </x:xf>
    <x:xf numFmtId="0" fontId="3" fillId="16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vertical="top" wrapText="1"/>
    </x:xf>
    <x:xf numFmtId="0" fontId="4" fillId="0" borderId="33" xfId="0" applyNumberFormat="1" applyFont="1" applyFill="1" applyBorder="1" applyAlignment="1">
      <x:alignment vertical="top" wrapText="1"/>
    </x:xf>
    <x:xf numFmtId="0" fontId="4" fillId="0" borderId="34" xfId="0" applyNumberFormat="1" applyFont="1" applyFill="1" applyBorder="1" applyAlignment="1">
      <x:alignment vertical="top" wrapText="1"/>
    </x:xf>
    <x:xf numFmtId="0" fontId="4" fillId="0" borderId="35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4" fillId="0" borderId="3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32" xfId="0" applyNumberFormat="1" applyFont="1" applyFill="1" applyBorder="1" applyAlignment="1">
      <x:alignment horizontal="center" vertical="top" wrapText="1"/>
    </x:xf>
    <x:xf numFmtId="0" fontId="7" fillId="4" borderId="34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4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3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5" xfId="0" applyNumberFormat="1" applyFont="1" applyFill="1" applyBorder="1" applyAlignment="1">
      <x:alignment horizontal="center" vertical="top" wrapText="1"/>
    </x:xf>
    <x:xf numFmtId="0" fontId="7" fillId="4" borderId="36" xfId="0" applyNumberFormat="1" applyFont="1" applyFill="1" applyBorder="1" applyAlignment="1">
      <x:alignment horizontal="center" vertical="top" wrapText="1"/>
    </x:xf>
    <x:xf numFmtId="0" fontId="7" fillId="4" borderId="36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3" xfId="0" applyNumberFormat="1" applyFont="1" applyFill="1" applyBorder="1" applyAlignment="1">
      <x:alignment horizontal="center" vertical="top" wrapText="1"/>
    </x:xf>
    <x:xf numFmtId="200" fontId="4" fillId="0" borderId="33" xfId="0" applyNumberFormat="1" applyFont="1" applyFill="1" applyBorder="1" applyAlignment="1">
      <x:alignment vertical="top" wrapText="1"/>
    </x:xf>
    <x:xf numFmtId="200" fontId="4" fillId="0" borderId="36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</x:xf>
    <x:xf numFmtId="0" fontId="7" fillId="4" borderId="20" xfId="0" applyNumberFormat="1" applyFont="1" applyFill="1" applyBorder="1" applyAlignment="1">
      <x:alignment horizontal="center" vertical="top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6" fillId="16" borderId="29" xfId="0" applyNumberFormat="1" applyFont="1" applyFill="1" applyBorder="1" applyAlignment="1">
      <x:alignment horizontal="center" vertical="center" wrapText="1"/>
    </x:xf>
    <x:xf numFmtId="0" fontId="6" fillId="16" borderId="30" xfId="0" applyNumberFormat="1" applyFont="1" applyFill="1" applyBorder="1" applyAlignment="1">
      <x:alignment horizontal="center" vertical="center" wrapText="1"/>
    </x:xf>
    <x:xf numFmtId="0" fontId="7" fillId="4" borderId="37" xfId="0" applyNumberFormat="1" applyFont="1" applyFill="1" applyBorder="1" applyAlignment="1">
      <x:alignment horizontal="center" vertical="top" wrapText="1"/>
    </x:xf>
    <x:xf numFmtId="0" fontId="6" fillId="16" borderId="20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12" borderId="20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6" fillId="16" borderId="31" xfId="0" applyNumberFormat="1" applyFont="1" applyFill="1" applyBorder="1" applyAlignment="1">
      <x:alignment horizontal="center" vertical="center" wrapText="1"/>
    </x:xf>
    <x:xf numFmtId="0" fontId="4" fillId="5" borderId="33" xfId="0" applyNumberFormat="1" applyFont="1" applyFill="1" applyBorder="1" applyAlignment="1">
      <x:alignment vertical="top" wrapText="1"/>
    </x:xf>
    <x:xf numFmtId="0" fontId="4" fillId="12" borderId="33" xfId="0" applyNumberFormat="1" applyFont="1" applyFill="1" applyBorder="1" applyAlignment="1">
      <x:alignment vertical="top" wrapText="1"/>
    </x:xf>
    <x:xf numFmtId="0" fontId="4" fillId="7" borderId="36" xfId="0" applyNumberFormat="1" applyFont="1" applyFill="1" applyBorder="1" applyAlignment="1">
      <x:alignment vertical="top" wrapText="1"/>
    </x:xf>
    <x:xf numFmtId="0" fontId="4" fillId="17" borderId="33" xfId="0" applyNumberFormat="1" applyFont="1" applyFill="1" applyBorder="1" applyAlignment="1">
      <x:alignment vertical="top" wrapText="1"/>
    </x:xf>
    <x:xf numFmtId="0" fontId="4" fillId="18" borderId="33" xfId="0" applyNumberFormat="1" applyFont="1" applyFill="1" applyBorder="1" applyAlignment="1">
      <x:alignment vertical="top" wrapText="1"/>
    </x:xf>
    <x:xf numFmtId="0" fontId="4" fillId="19" borderId="33" xfId="0" applyNumberFormat="1" applyFont="1" applyFill="1" applyBorder="1" applyAlignment="1">
      <x:alignment vertical="top" wrapText="1"/>
    </x:xf>
    <x:xf numFmtId="0" fontId="4" fillId="20" borderId="36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vertical="center"/>
    </x:xf>
    <x:xf numFmtId="0" fontId="2" fillId="22" borderId="0" xfId="0" applyNumberFormat="1" applyFont="1" applyFill="1" applyBorder="1" applyAlignment="1">
      <x:alignment vertical="center" wrapText="1"/>
    </x:xf>
    <x:xf numFmtId="0" fontId="3" fillId="23" borderId="29" xfId="0" applyNumberFormat="1" applyFont="1" applyFill="1" applyBorder="1" applyAlignment="1">
      <x:alignment horizontal="center" vertical="center"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0" fontId="4" fillId="0" borderId="29" xfId="0" applyNumberFormat="1" applyFont="1" applyFill="1" applyBorder="1" applyAlignment="1">
      <x:alignment vertical="top" wrapText="1"/>
    </x:xf>
    <x:xf numFmtId="0" fontId="3" fillId="23" borderId="38" xfId="0" applyNumberFormat="1" applyFont="1" applyFill="1" applyBorder="1" applyAlignment="1">
      <x:alignment horizontal="center" vertical="center" wrapText="1"/>
    </x:xf>
    <x:xf numFmtId="0" fontId="3" fillId="23" borderId="39" xfId="0" applyNumberFormat="1" applyFont="1" applyFill="1" applyBorder="1" applyAlignment="1">
      <x:alignment horizontal="center" vertical="center" wrapText="1"/>
    </x:xf>
    <x:xf numFmtId="0" fontId="3" fillId="23" borderId="40" xfId="0" applyNumberFormat="1" applyFont="1" applyFill="1" applyBorder="1" applyAlignment="1">
      <x:alignment horizontal="center" vertical="center" wrapText="1"/>
    </x:xf>
    <x:xf numFmtId="0" fontId="4" fillId="0" borderId="41" xfId="0" applyNumberFormat="1" applyFont="1" applyFill="1" applyBorder="1" applyAlignment="1">
      <x:alignment vertical="top" wrapText="1"/>
    </x:xf>
    <x:xf numFmtId="0" fontId="4" fillId="0" borderId="42" xfId="0" applyNumberFormat="1" applyFont="1" applyFill="1" applyBorder="1" applyAlignment="1">
      <x:alignment vertical="top" wrapText="1"/>
    </x:xf>
    <x:xf numFmtId="0" fontId="4" fillId="0" borderId="43" xfId="0" applyNumberFormat="1" applyFont="1" applyFill="1" applyBorder="1" applyAlignment="1">
      <x:alignment vertical="top" wrapText="1"/>
    </x:xf>
    <x:xf numFmtId="0" fontId="4" fillId="0" borderId="44" xfId="0" applyNumberFormat="1" applyFont="1" applyFill="1" applyBorder="1" applyAlignment="1">
      <x:alignment vertical="top" wrapText="1"/>
    </x:xf>
    <x:xf numFmtId="0" fontId="4" fillId="0" borderId="45" xfId="0" applyNumberFormat="1" applyFont="1" applyFill="1" applyBorder="1" applyAlignment="1">
      <x:alignment vertical="top" wrapText="1"/>
    </x:xf>
    <x:xf numFmtId="0" fontId="4" fillId="0" borderId="46" xfId="0" applyNumberFormat="1" applyFont="1" applyFill="1" applyBorder="1" applyAlignment="1">
      <x:alignment vertical="top" wrapText="1"/>
    </x:xf>
    <x:xf numFmtId="0" fontId="7" fillId="4" borderId="29" xfId="0" applyNumberFormat="1" applyFont="1" applyFill="1" applyBorder="1" applyAlignment="1">
      <x:alignment horizontal="center" vertical="top" wrapText="1"/>
    </x:xf>
    <x:xf numFmtId="0" fontId="7" fillId="4" borderId="41" xfId="0" applyNumberFormat="1" applyFont="1" applyFill="1" applyBorder="1" applyAlignment="1">
      <x:alignment horizontal="center" vertical="top" wrapText="1"/>
    </x:xf>
    <x:xf numFmtId="0" fontId="7" fillId="4" borderId="43" xfId="0" applyNumberFormat="1" applyFont="1" applyFill="1" applyBorder="1" applyAlignment="1">
      <x:alignment horizontal="center" vertical="top" wrapText="1"/>
    </x:xf>
    <x:xf numFmtId="0" fontId="4" fillId="0" borderId="2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29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44" xfId="0" applyNumberFormat="1" applyFont="1" applyFill="1" applyBorder="1" applyAlignment="1">
      <x:alignment horizontal="center" vertical="top" wrapText="1"/>
    </x:xf>
    <x:xf numFmtId="0" fontId="7" fillId="4" borderId="45" xfId="0" applyNumberFormat="1" applyFont="1" applyFill="1" applyBorder="1" applyAlignment="1">
      <x:alignment horizontal="center" vertical="top" wrapText="1"/>
    </x:xf>
    <x:xf numFmtId="0" fontId="7" fillId="4" borderId="45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42" xfId="0" applyNumberFormat="1" applyFont="1" applyFill="1" applyBorder="1" applyAlignment="1">
      <x:alignment horizontal="center" vertical="top" wrapText="1"/>
    </x:xf>
    <x:xf numFmtId="200" fontId="4" fillId="0" borderId="29" xfId="0" applyNumberFormat="1" applyFont="1" applyFill="1" applyBorder="1" applyAlignment="1">
      <x:alignment vertical="top" wrapText="1"/>
    </x:xf>
    <x:xf numFmtId="200" fontId="4" fillId="0" borderId="42" xfId="0" applyNumberFormat="1" applyFont="1" applyFill="1" applyBorder="1" applyAlignment="1">
      <x:alignment vertical="top" wrapText="1"/>
    </x:xf>
    <x:xf numFmtId="200" fontId="4" fillId="0" borderId="45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wrapText="1"/>
    </x:xf>
    <x:xf numFmtId="0" fontId="7" fillId="4" borderId="29" xfId="0" applyNumberFormat="1" applyFont="1" applyFill="1" applyBorder="1" applyAlignment="1">
      <x:alignment horizontal="center" vertical="center" wrapText="1"/>
    </x:xf>
    <x:xf numFmtId="0" fontId="7" fillId="23" borderId="29" xfId="0" applyNumberFormat="1" applyFont="1" applyFill="1" applyBorder="1" applyAlignment="1">
      <x:alignment horizontal="center" vertical="top" wrapText="1"/>
    </x:xf>
    <x:xf numFmtId="0" fontId="6" fillId="23" borderId="29" xfId="0" applyNumberFormat="1" applyFont="1" applyFill="1" applyBorder="1" applyAlignment="1">
      <x:alignment horizontal="center" vertical="top" wrapText="1"/>
    </x:xf>
    <x:xf numFmtId="0" fontId="6" fillId="23" borderId="29" xfId="0" applyNumberFormat="1" applyFont="1" applyFill="1" applyBorder="1" applyAlignment="1">
      <x:alignment horizontal="center" vertical="center" wrapText="1"/>
    </x:xf>
    <x:xf numFmtId="0" fontId="7" fillId="23" borderId="0" xfId="0" applyNumberFormat="1" applyFont="1" applyFill="1" applyBorder="1" applyAlignment="1">
      <x:alignment horizontal="center" vertical="top" wrapText="1"/>
    </x:xf>
    <x:xf numFmtId="0" fontId="6" fillId="23" borderId="0" xfId="0" applyNumberFormat="1" applyFont="1" applyFill="1" applyBorder="1" applyAlignment="1">
      <x:alignment horizontal="center" vertical="top" wrapText="1"/>
    </x:xf>
    <x:xf numFmtId="0" fontId="6" fillId="23" borderId="0" xfId="0" applyNumberFormat="1" applyFont="1" applyFill="1" applyBorder="1" applyAlignment="1">
      <x:alignment horizontal="center" vertical="center" wrapText="1"/>
    </x:xf>
    <x:xf numFmtId="0" fontId="6" fillId="23" borderId="38" xfId="0" applyNumberFormat="1" applyFont="1" applyFill="1" applyBorder="1" applyAlignment="1">
      <x:alignment horizontal="center" vertical="center" wrapText="1"/>
    </x:xf>
    <x:xf numFmtId="0" fontId="6" fillId="23" borderId="39" xfId="0" applyNumberFormat="1" applyFont="1" applyFill="1" applyBorder="1" applyAlignment="1">
      <x:alignment horizontal="center" vertical="center" wrapText="1"/>
    </x:xf>
    <x:xf numFmtId="0" fontId="6" fillId="23" borderId="40" xfId="0" applyNumberFormat="1" applyFont="1" applyFill="1" applyBorder="1" applyAlignment="1">
      <x:alignment horizontal="center" vertical="center" wrapText="1"/>
    </x:xf>
    <x:xf numFmtId="0" fontId="4" fillId="0" borderId="4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12" borderId="29" xfId="0" applyNumberFormat="1" applyFont="1" applyFill="1" applyBorder="1" applyAlignment="1">
      <x:alignment vertical="top" wrapText="1"/>
    </x:xf>
    <x:xf numFmtId="0" fontId="4" fillId="6" borderId="29" xfId="0" applyNumberFormat="1" applyFont="1" applyFill="1" applyBorder="1" applyAlignment="1">
      <x:alignment vertical="top" wrapText="1"/>
    </x:xf>
    <x:xf numFmtId="0" fontId="4" fillId="7" borderId="29" xfId="0" applyNumberFormat="1" applyFont="1" applyFill="1" applyBorder="1" applyAlignment="1">
      <x:alignment vertical="top" wrapText="1"/>
    </x:xf>
    <x:xf numFmtId="0" fontId="4" fillId="5" borderId="42" xfId="0" applyNumberFormat="1" applyFont="1" applyFill="1" applyBorder="1" applyAlignment="1">
      <x:alignment vertical="top" wrapText="1"/>
    </x:xf>
    <x:xf numFmtId="0" fontId="4" fillId="12" borderId="42" xfId="0" applyNumberFormat="1" applyFont="1" applyFill="1" applyBorder="1" applyAlignment="1">
      <x:alignment vertical="top" wrapText="1"/>
    </x:xf>
    <x:xf numFmtId="0" fontId="4" fillId="6" borderId="42" xfId="0" applyNumberFormat="1" applyFont="1" applyFill="1" applyBorder="1" applyAlignment="1">
      <x:alignment vertical="top" wrapText="1"/>
    </x:xf>
    <x:xf numFmtId="0" fontId="4" fillId="7" borderId="42" xfId="0" applyNumberFormat="1" applyFont="1" applyFill="1" applyBorder="1" applyAlignment="1">
      <x:alignment vertical="top" wrapText="1"/>
    </x:xf>
    <x:xf numFmtId="0" fontId="4" fillId="24" borderId="42" xfId="0" applyNumberFormat="1" applyFont="1" applyFill="1" applyBorder="1" applyAlignment="1">
      <x:alignment vertical="top" wrapText="1"/>
    </x:xf>
    <x:xf numFmtId="0" fontId="4" fillId="25" borderId="42" xfId="0" applyNumberFormat="1" applyFont="1" applyFill="1" applyBorder="1" applyAlignment="1">
      <x:alignment vertical="top" wrapText="1"/>
    </x:xf>
    <x:xf numFmtId="0" fontId="4" fillId="26" borderId="45" xfId="0" applyNumberFormat="1" applyFont="1" applyFill="1" applyBorder="1" applyAlignment="1">
      <x:alignment vertical="top" wrapText="1"/>
    </x:xf>
    <x:xf numFmtId="0" fontId="5" fillId="2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</x:dxf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820d2eb2efa04494" /><Relationship Type="http://schemas.openxmlformats.org/officeDocument/2006/relationships/theme" Target="/xl/theme/theme1.xml" Id="R36025553fbae4479" /><Relationship Type="http://schemas.microsoft.com/office/2022/11/relationships/FeaturePropertyBag" Target="/xl/featurePropertyBag/featurePropertyBag.xml" Id="Rc7f3e7a6812e4f2c" /><Relationship Type="http://schemas.openxmlformats.org/officeDocument/2006/relationships/sharedStrings" Target="/xl/sharedStrings.xml" Id="R6998822db1914868" /><Relationship Type="http://schemas.openxmlformats.org/officeDocument/2006/relationships/worksheet" Target="/xl/worksheets/sheet1.xml" Id="R70c6e56916b34c6d" /><Relationship Type="http://schemas.openxmlformats.org/officeDocument/2006/relationships/worksheet" Target="/xl/worksheets/sheet2.xml" Id="Rd99193d273104138" /><Relationship Type="http://schemas.openxmlformats.org/officeDocument/2006/relationships/worksheet" Target="/xl/worksheets/sheet3.xml" Id="R8b6feb23e1894e76" /><Relationship Type="http://schemas.openxmlformats.org/officeDocument/2006/relationships/worksheet" Target="/xl/worksheets/sheet4.xml" Id="R217a587c459e4788" /><Relationship Type="http://schemas.openxmlformats.org/officeDocument/2006/relationships/worksheet" Target="/xl/worksheets/sheet5.xml" Id="Rf035899f4399451f" /><Relationship Type="http://schemas.openxmlformats.org/officeDocument/2006/relationships/worksheet" Target="/xl/worksheets/sheet6.xml" Id="R9deb1695f62144bd" /><Relationship Type="http://schemas.openxmlformats.org/officeDocument/2006/relationships/worksheet" Target="/xl/worksheets/sheet7.xml" Id="R638a068440dd48f9" /><Relationship Type="http://schemas.openxmlformats.org/officeDocument/2006/relationships/worksheet" Target="/xl/worksheets/sheet8.xml" Id="R091731448ce64e8b" /><Relationship Type="http://schemas.openxmlformats.org/officeDocument/2006/relationships/worksheet" Target="/xl/worksheets/sheet9.xml" Id="Rdd8aa67ed3794cc5" /><Relationship Type="http://schemas.openxmlformats.org/officeDocument/2006/relationships/worksheet" Target="/xl/worksheets/sheet10.xml" Id="R56540359ff0043ec" /><Relationship Type="http://schemas.openxmlformats.org/officeDocument/2006/relationships/worksheet" Target="/xl/worksheets/sheet11.xml" Id="R883cf115be6d42e0" /><Relationship Type="http://schemas.openxmlformats.org/officeDocument/2006/relationships/worksheet" Target="/xl/worksheets/sheet12.xml" Id="Ree16c238895e43c7" /><Relationship Type="http://schemas.openxmlformats.org/officeDocument/2006/relationships/worksheet" Target="/xl/worksheets/sheet13.xml" Id="R06eb2388d2e044d4" /><Relationship Type="http://schemas.openxmlformats.org/officeDocument/2006/relationships/worksheet" Target="/xl/worksheets/sheet14.xml" Id="R548dd4dac61b4914" /><Relationship Type="http://schemas.openxmlformats.org/officeDocument/2006/relationships/worksheet" Target="/xl/worksheets/sheet15.xml" Id="R5ea48338757b4af8" /><Relationship Type="http://schemas.openxmlformats.org/officeDocument/2006/relationships/worksheet" Target="/xl/worksheets/sheet16.xml" Id="R4cda38aecfff4624" /><Relationship Type="http://schemas.openxmlformats.org/officeDocument/2006/relationships/worksheet" Target="/xl/worksheets/sheet17.xml" Id="R79e0a32133c84045" /><Relationship Type="http://schemas.openxmlformats.org/officeDocument/2006/relationships/worksheet" Target="/xl/worksheets/sheet18.xml" Id="Rf5077606a3b24d2b" /><Relationship Type="http://schemas.openxmlformats.org/officeDocument/2006/relationships/worksheet" Target="/xl/worksheets/sheet19.xml" Id="R7167c938463e45ec" /><Relationship Type="http://schemas.openxmlformats.org/officeDocument/2006/relationships/worksheet" Target="/xl/worksheets/sheet20.xml" Id="R8d7e33acdb36431f" /><Relationship Type="http://schemas.openxmlformats.org/officeDocument/2006/relationships/worksheet" Target="/xl/worksheets/sheet21.xml" Id="Ra4e28a4cb0e14d40" /><Relationship Type="http://schemas.openxmlformats.org/officeDocument/2006/relationships/worksheet" Target="/xl/worksheets/sheet22.xml" Id="Re5716c4fd93c4679" /><Relationship Type="http://schemas.openxmlformats.org/officeDocument/2006/relationships/worksheet" Target="/xl/worksheets/sheet23.xml" Id="R2750f7632b6540fa" /><Relationship Type="http://schemas.openxmlformats.org/officeDocument/2006/relationships/worksheet" Target="/xl/worksheets/sheet24.xml" Id="Ref30eb655fdf4900" /><Relationship Type="http://schemas.openxmlformats.org/officeDocument/2006/relationships/worksheet" Target="/xl/worksheets/sheet25.xml" Id="R54d39e2433344ab2" /><Relationship Type="http://schemas.openxmlformats.org/officeDocument/2006/relationships/worksheet" Target="/xl/worksheets/sheet26.xml" Id="Rbd7362f84694478f" /><Relationship Type="http://schemas.openxmlformats.org/officeDocument/2006/relationships/worksheet" Target="/xl/worksheets/sheet27.xml" Id="R613e086e47ec4ed6" /><Relationship Type="http://schemas.openxmlformats.org/officeDocument/2006/relationships/worksheet" Target="/xl/worksheets/sheet28.xml" Id="R9ed0cb77c0ea4b2a" /><Relationship Type="http://schemas.openxmlformats.org/officeDocument/2006/relationships/worksheet" Target="/xl/worksheets/sheet29.xml" Id="Rdac8c77bbeee4d71" /><Relationship Type="http://schemas.openxmlformats.org/officeDocument/2006/relationships/worksheet" Target="/xl/worksheets/sheet30.xml" Id="R86bc85c272c2436f" /><Relationship Type="http://schemas.openxmlformats.org/officeDocument/2006/relationships/worksheet" Target="/xl/worksheets/sheet31.xml" Id="R3bf407359da544ab" /><Relationship Id="rIdReplusUiV9" Type="http://schemas.openxmlformats.org/officeDocument/2006/relationships/worksheet" Target="worksheets/replus-ui-v9.xml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replus-ui-v9.xml><?xml version="1.0" encoding="utf-8"?>
<worksheet xmlns="http://schemas.openxmlformats.org/spreadsheetml/2006/main">
  <sheetFormatPr defaultRowHeight="15"/>
  <sheetData>
    <row r="1">
      <c r="A1" t="str" s="251">
        <v>リプラス住宅用・共通UI選択契約</v>
      </c>
      <c r="B1" s="252"/>
      <c r="C1" s="252"/>
      <c r="D1" s="252"/>
      <c r="E1" s="253"/>
      <c r="F1"/>
    </row>
    <row r="2">
      <c r="A2" t="str" s="248">
        <v>分類</v>
      </c>
      <c r="B2" t="str" s="249">
        <v>対象</v>
      </c>
      <c r="C2" t="str" s="249">
        <v>依存元</v>
      </c>
      <c r="D2" t="str" s="249">
        <v>処理</v>
      </c>
      <c r="E2" t="str" s="250">
        <v>根拠区分</v>
      </c>
      <c r="F2" t="str">
        <v>revision</v>
      </c>
    </row>
    <row r="3">
      <c r="A3" t="str" s="251">
        <v>SELECTION_LINKS</v>
      </c>
      <c r="B3" t="str" s="252">
        <v>exterior_cover_color</v>
      </c>
      <c r="C3" t="str" s="252">
        <v>sash_exterior_color</v>
      </c>
      <c r="D3" t="str" s="252">
        <v>{"targetField": "exterior_cover_color", "parents": ["sash_exterior_color"], "cases": [{"when": {"sash_exterior_color": "T"}, "value": "T"}, {"when": {"sash_exterior_color": "G"}, "value": "G"}, {"when": {"sash_exterior_color": "C"}, "value": "C"}, {"when": {"sash_exterior_color": "F"}, "value": "F"}], "resolvedMessage": "本体外観色に連動しています。", "pendingMessage": "サッシ本体の色を選択してください。", "unavailableMessage": "本体色に対応するカバー部材の確認が必要です。"}</v>
      </c>
      <c r="E3" t="str" s="253">
        <v>USER_APPLICATION_POLICY</v>
      </c>
      <c r="F3" t="str">
        <v>REPLUS_GLASS_APPEARANCE_FIRST_V13_20261014</v>
      </c>
    </row>
    <row r="4">
      <c r="A4" t="str" s="251">
        <v>SELECTION_LINKS</v>
      </c>
      <c r="B4" t="str" s="252">
        <v>interior_resin_cover_color</v>
      </c>
      <c r="C4" t="str" s="252">
        <v>sash_interior_color</v>
      </c>
      <c r="D4" t="str" s="252">
        <v>{"targetField": "interior_resin_cover_color", "parents": ["sash_interior_color"], "cases": [{"when": {"sash_interior_color": "F"}, "value": "F"}], "resolvedMessage": "本体内観色に連動しています。", "pendingMessage": "サッシ本体の色を選択してください。", "unavailableMessage": "本体色に対応するカバー部材の確認が必要です。"}</v>
      </c>
      <c r="E4" t="str" s="253">
        <v>USER_APPLICATION_POLICY</v>
      </c>
      <c r="F4" t="str">
        <v>REPLUS_GLASS_APPEARANCE_FIRST_V13_20261014</v>
      </c>
    </row>
    <row r="5">
      <c r="A5" t="str" s="251">
        <v>NUMERIC_INPUT_PAIRS</v>
      </c>
      <c r="B5" t="str" s="252">
        <v>dimension_basis</v>
      </c>
      <c r="C5" t="str" s="252"/>
      <c r="D5" t="str" s="252">
        <v>{"basisField": "dimension_basis", "measuredBasis": "SURVEY", "finishedBasis": "FINISHED", "legacyBasis": "FINISHED", "evaluationAssignments": {"size_mode": "CUSTOM"}, "pairs": [{"measuredField": "survey_width", "finishedField": "custom_width", "offset": -10, "message": "公式換算：仕上がり寸法 = 採寸寸法 − 10mm。"}, {"measuredField": "survey_height", "finishedField": "custom_height", "offset": -10, "message": "公式換算：仕上がり寸法 = 採寸寸法 − 10mm。"}]}</v>
      </c>
      <c r="E5" t="str" s="253">
        <v>OFFICIAL_SOURCE_REVIEW</v>
      </c>
      <c r="F5" t="str">
        <v>REPLUS_GLASS_APPEARANCE_FIRST_V13_20261014</v>
      </c>
    </row>
    <row r="6">
      <c r="A6" t="str" s="251">
        <v>SELECTION_LINKS</v>
      </c>
      <c r="B6" t="str" s="252">
        <v>inner_fit_required_component</v>
      </c>
      <c r="C6" t="str" s="252">
        <v>installation_method</v>
      </c>
      <c r="D6" t="str" s="252">
        <v>{"targetField": "inner_fit_required_component", "parents": ["installation_method"], "applicability": {"window_type": {"$exists": true}, "installation_method": {"$in": ["INNER_FIT_INSET", "INNER_FIT_OUTSET"]}}, "cases": [{"when": {"installation_method": "INNER_FIT_INSET"}, "value": "EW-OP-UPPER-BASE"}, {"when": {"installation_method": "INNER_FIT_OUTSET"}, "value": "EW-OP-UPPER-BASE"}], "resolvedMessage": "内はめ用のため必要です。数量・価格は積算で確認してください。", "pendingMessage": "内はめ仕様を選択してください。", "unavailableMessage": "必要な内はめ部材の対応を確認してください。", "resolvedNoticeVisibility": "INTERNAL_ONLY"}</v>
      </c>
      <c r="E6" t="str" s="253">
        <v>OFFICIAL_SOURCE_REVIEW</v>
      </c>
      <c r="F6" t="str">
        <v>REPLUS_GLASS_APPEARANCE_FIRST_V13_20261014</v>
      </c>
    </row>
    <row r="7">
      <c r="A7" t="str" s="251">
        <v>フロー</v>
      </c>
      <c r="B7" t="str" s="252">
        <v>window_type</v>
      </c>
      <c r="C7" t="str" s="252"/>
      <c r="D7" t="str" s="252">
        <v>{"label": "窓種", "group": "opening", "internal": false}</v>
      </c>
      <c r="E7" t="str" s="253">
        <v>UI_PRESENTATION</v>
      </c>
      <c r="F7" t="str">
        <v>REPLUS_GLASS_APPEARANCE_FIRST_V13_20261014</v>
      </c>
    </row>
    <row r="8">
      <c r="A8" t="str" s="251">
        <v>フロー</v>
      </c>
      <c r="B8" t="str" s="252">
        <v>frame_type</v>
      </c>
      <c r="C8" t="str" s="252">
        <v>window_type</v>
      </c>
      <c r="D8" t="str" s="252">
        <v>{"label": "枠仕様", "group": "opening", "internal": false}</v>
      </c>
      <c r="E8" t="str" s="253">
        <v>UI_PRESENTATION</v>
      </c>
      <c r="F8" t="str">
        <v>REPLUS_GLASS_APPEARANCE_FIRST_V13_20261014</v>
      </c>
    </row>
    <row r="9">
      <c r="A9" t="str" s="251">
        <v>フロー</v>
      </c>
      <c r="B9" t="str" s="252">
        <v>spec_panel_configuration</v>
      </c>
      <c r="C9" t="str" s="252">
        <v>window_type</v>
      </c>
      <c r="D9" t="str" s="252">
        <v>{"label": "建数", "group": "opening", "internal": false}</v>
      </c>
      <c r="E9" t="str" s="253">
        <v>UI_PRESENTATION</v>
      </c>
      <c r="F9" t="str">
        <v>REPLUS_GLASS_APPEARANCE_FIRST_V13_20261014</v>
      </c>
    </row>
    <row r="10">
      <c r="A10" t="str" s="251">
        <v>フロー</v>
      </c>
      <c r="B10" t="str" s="252">
        <v>spec_height_category</v>
      </c>
      <c r="C10" t="str" s="252">
        <v>window_type,custom_width,custom_height</v>
      </c>
      <c r="D10" t="str" s="252">
        <v>{"label": "マド／テラス", "group": "opening", "internal": true}</v>
      </c>
      <c r="E10" t="str" s="253">
        <v>UI_PRESENTATION</v>
      </c>
      <c r="F10" t="str">
        <v>REPLUS_GLASS_APPEARANCE_FIRST_V13_20261014</v>
      </c>
    </row>
    <row r="11">
      <c r="A11" t="str" s="251">
        <v>フロー</v>
      </c>
      <c r="B11" t="str" s="252">
        <v>spec_sash_configuration</v>
      </c>
      <c r="C11" t="str" s="252">
        <v>window_type</v>
      </c>
      <c r="D11" t="str" s="252">
        <v>{"label": "障子仕様", "group": "opening", "internal": false}</v>
      </c>
      <c r="E11" t="str" s="253">
        <v>UI_PRESENTATION</v>
      </c>
      <c r="F11" t="str">
        <v>REPLUS_GLASS_APPEARANCE_FIRST_V13_20261014</v>
      </c>
    </row>
    <row r="12">
      <c r="A12" t="str" s="251">
        <v>フロー</v>
      </c>
      <c r="B12" t="str" s="252">
        <v>spec_crescent_position</v>
      </c>
      <c r="C12" t="str" s="252">
        <v>window_type</v>
      </c>
      <c r="D12" t="str" s="252">
        <v>{"label": "クレセント位置", "group": "opening", "internal": false}</v>
      </c>
      <c r="E12" t="str" s="253">
        <v>UI_PRESENTATION</v>
      </c>
      <c r="F12" t="str">
        <v>REPLUS_GLASS_APPEARANCE_FIRST_V13_20261014</v>
      </c>
    </row>
    <row r="13">
      <c r="A13" t="str" s="251">
        <v>フロー</v>
      </c>
      <c r="B13" t="str" s="252">
        <v>screen</v>
      </c>
      <c r="C13" t="str" s="252">
        <v>spec_height_category,window_type</v>
      </c>
      <c r="D13" t="str" s="252">
        <v>{"label": "網戸", "group": "screen", "internal": false}</v>
      </c>
      <c r="E13" t="str" s="253">
        <v>UI_PRESENTATION</v>
      </c>
      <c r="F13" t="str">
        <v>REPLUS_GLASS_APPEARANCE_FIRST_V13_20261014</v>
      </c>
    </row>
    <row r="14">
      <c r="A14" t="str" s="251">
        <v>フロー</v>
      </c>
      <c r="B14" t="str" s="252">
        <v>size_mode</v>
      </c>
      <c r="C14" t="str" s="252"/>
      <c r="D14" t="str" s="252">
        <v>{"label": "寸法の指定方法", "group": "size", "internal": true}</v>
      </c>
      <c r="E14" t="str" s="253">
        <v>UI_PRESENTATION</v>
      </c>
      <c r="F14" t="str">
        <v>REPLUS_GLASS_APPEARANCE_FIRST_V13_20261014</v>
      </c>
    </row>
    <row r="15">
      <c r="A15" t="str" s="251">
        <v>フロー</v>
      </c>
      <c r="B15" t="str" s="252">
        <v>sash_exterior_color</v>
      </c>
      <c r="C15" t="str" s="252"/>
      <c r="D15" t="str" s="252">
        <v>{"label": "本体外観色", "group": "finish", "internal": false}</v>
      </c>
      <c r="E15" t="str" s="253">
        <v>UI_PRESENTATION</v>
      </c>
      <c r="F15" t="str">
        <v>REPLUS_GLASS_APPEARANCE_FIRST_V13_20261014</v>
      </c>
    </row>
    <row r="16">
      <c r="A16" t="str" s="251">
        <v>フロー</v>
      </c>
      <c r="B16" t="str" s="252">
        <v>exterior_cover_color</v>
      </c>
      <c r="C16" t="str" s="252">
        <v>sash_exterior_color</v>
      </c>
      <c r="D16" t="str" s="252">
        <v>{"label": "化粧カバー色（外観色に連動）", "group": "exterior_finish", "internal": true, "salesDisplay": false}</v>
      </c>
      <c r="E16" t="str" s="253">
        <v>USER_PRESENTATION_POLICY</v>
      </c>
      <c r="F16" t="str">
        <v>REPLUS_GLASS_APPEARANCE_FIRST_V13_20261014</v>
      </c>
    </row>
    <row r="17">
      <c r="A17" t="str" s="251">
        <v>フロー</v>
      </c>
      <c r="B17" t="str" s="252">
        <v>sash_interior_color</v>
      </c>
      <c r="C17" t="str" s="252"/>
      <c r="D17" t="str" s="252">
        <v>{"label": "本体内観色", "group": "finish", "internal": false}</v>
      </c>
      <c r="E17" t="str" s="253">
        <v>UI_PRESENTATION</v>
      </c>
      <c r="F17" t="str">
        <v>REPLUS_GLASS_APPEARANCE_FIRST_V13_20261014</v>
      </c>
    </row>
    <row r="18">
      <c r="A18" t="str" s="251">
        <v>フロー</v>
      </c>
      <c r="B18" t="str" s="252">
        <v>interior_resin_cover_color</v>
      </c>
      <c r="C18" t="str" s="252">
        <v>sash_interior_color</v>
      </c>
      <c r="D18" t="str" s="252">
        <v>{"label": "室内カバー色（内観色に連動）", "group": "interior_finish", "internal": true, "salesDisplay": false}</v>
      </c>
      <c r="E18" t="str" s="253">
        <v>USER_PRESENTATION_POLICY</v>
      </c>
      <c r="F18" t="str">
        <v>REPLUS_GLASS_APPEARANCE_FIRST_V13_20261014</v>
      </c>
    </row>
    <row r="19">
      <c r="A19" t="str" s="251">
        <v>フロー</v>
      </c>
      <c r="B19" t="str" s="252">
        <v>wooden_casing_color</v>
      </c>
      <c r="C19" t="str" s="252">
        <v>options</v>
      </c>
      <c r="D19" t="str" s="252">
        <v>{"label": "木製ケーシング色", "group": "part_detail", "internal": false}</v>
      </c>
      <c r="E19" t="str" s="253">
        <v>UI_PRESENTATION</v>
      </c>
      <c r="F19" t="str">
        <v>REPLUS_GLASS_APPEARANCE_FIRST_V13_20261014</v>
      </c>
    </row>
    <row r="20">
      <c r="A20" t="str" s="251">
        <v>フロー</v>
      </c>
      <c r="B20" t="str" s="252">
        <v>options</v>
      </c>
      <c r="C20" t="str" s="252"/>
      <c r="D20" t="str" s="252">
        <v>{"label": "追加部材・オプション", "group": "options", "internal": false}</v>
      </c>
      <c r="E20" t="str" s="253">
        <v>UI_PRESENTATION</v>
      </c>
      <c r="F20" t="str">
        <v>REPLUS_GLASS_APPEARANCE_FIRST_V13_20261014</v>
      </c>
    </row>
    <row r="21">
      <c r="A21" t="str" s="251">
        <v>フロー</v>
      </c>
      <c r="B21" t="str" s="252">
        <v>installation_region</v>
      </c>
      <c r="C21" t="str" s="252"/>
      <c r="D21" t="str" s="252">
        <v>{"label": "設置地域", "group": "context", "internal": false}</v>
      </c>
      <c r="E21" t="str" s="253">
        <v>UI_PRESENTATION</v>
      </c>
      <c r="F21" t="str">
        <v>REPLUS_GLASS_APPEARANCE_FIRST_V13_20261014</v>
      </c>
    </row>
    <row r="22">
      <c r="A22" t="str" s="251">
        <v>フロー</v>
      </c>
      <c r="B22" t="str" s="252">
        <v>glass_category</v>
      </c>
      <c r="C22" t="str" s="252">
        <v>spec_sash_configuration,window_type</v>
      </c>
      <c r="D22" t="str" s="252">
        <v>{"label": "ガラス種類", "group": "glazing", "internal": false, "rank": 1}</v>
      </c>
      <c r="E22" t="str" s="253">
        <v>UI_PRESENTATION</v>
      </c>
      <c r="F22" t="str">
        <v>REPLUS_GLASS_APPEARANCE_FIRST_V13_20261014</v>
      </c>
    </row>
    <row r="23">
      <c r="A23" t="str" s="251">
        <v>フロー</v>
      </c>
      <c r="B23" t="str" s="252">
        <v>glass</v>
      </c>
      <c r="C23" t="str" s="252">
        <v>glass_category,glass_appearance,installation_region,window_type</v>
      </c>
      <c r="D23" t="str" s="252">
        <v>{"label": "Low-E構成", "group": "glazing", "internal": false, "rank": 3}</v>
      </c>
      <c r="E23" t="str" s="253">
        <v>UI_PRESENTATION</v>
      </c>
      <c r="F23" t="str">
        <v>REPLUS_GLASS_APPEARANCE_FIRST_V13_20261014</v>
      </c>
    </row>
    <row r="24">
      <c r="A24" t="str" s="251">
        <v>フロー</v>
      </c>
      <c r="B24" t="str" s="252">
        <v>glass_gas</v>
      </c>
      <c r="C24" t="str" s="252">
        <v>glass_category,window_type</v>
      </c>
      <c r="D24" t="str" s="252">
        <v>{"label": "中空層", "group": "glazing", "internal": false}</v>
      </c>
      <c r="E24" t="str" s="253">
        <v>UI_PRESENTATION</v>
      </c>
      <c r="F24" t="str">
        <v>REPLUS_GLASS_APPEARANCE_FIRST_V13_20261014</v>
      </c>
    </row>
    <row r="25">
      <c r="A25" t="str" s="251">
        <v>フロー</v>
      </c>
      <c r="B25" t="str" s="252">
        <v>glass_spacer</v>
      </c>
      <c r="C25" t="str" s="252">
        <v>glass_category,glass_gas,window_type</v>
      </c>
      <c r="D25" t="str" s="252">
        <v>{"label": "スペーサー", "group": "glazing", "internal": false}</v>
      </c>
      <c r="E25" t="str" s="253">
        <v>UI_PRESENTATION</v>
      </c>
      <c r="F25" t="str">
        <v>REPLUS_GLASS_APPEARANCE_FIRST_V13_20261014</v>
      </c>
    </row>
    <row r="26">
      <c r="A26" t="str" s="251">
        <v>フロー</v>
      </c>
      <c r="B26" t="str" s="252">
        <v>glass_function</v>
      </c>
      <c r="C26" t="str" s="252">
        <v>glass_category,glass_appearance,glass,window_type</v>
      </c>
      <c r="D26" t="str" s="252">
        <v>{"label": "ガラス追加機能", "group": "glazing", "internal": false, "rank": 4}</v>
      </c>
      <c r="E26" t="str" s="253">
        <v>UI_PRESENTATION</v>
      </c>
      <c r="F26" t="str">
        <v>REPLUS_GLASS_APPEARANCE_FIRST_V13_20261014</v>
      </c>
    </row>
    <row r="27">
      <c r="A27" t="str" s="251">
        <v>フロー</v>
      </c>
      <c r="B27" t="str" s="252">
        <v>glass_appearance</v>
      </c>
      <c r="C27" t="str" s="252">
        <v>glass_category</v>
      </c>
      <c r="D27" t="str" s="252">
        <v>{"label": "ガラス種", "group": "glazing", "internal": false, "rank": 2}</v>
      </c>
      <c r="E27" t="str" s="253">
        <v>UI_PRESENTATION</v>
      </c>
      <c r="F27" t="str">
        <v>REPLUS_GLASS_APPEARANCE_FIRST_V13_20261014</v>
      </c>
    </row>
    <row r="28">
      <c r="A28" t="str" s="251">
        <v>フロー</v>
      </c>
      <c r="B28" t="str" s="252">
        <v>interior_cover_type</v>
      </c>
      <c r="C28" t="str" s="252"/>
      <c r="D28" t="str" s="252">
        <v>{"label": "室内側の仕上げ仕様", "group": "interior_finish", "internal": false}</v>
      </c>
      <c r="E28" t="str" s="253">
        <v>UI_PRESENTATION</v>
      </c>
      <c r="F28" t="str">
        <v>REPLUS_GLASS_APPEARANCE_FIRST_V13_20261014</v>
      </c>
    </row>
    <row r="29">
      <c r="A29" t="str" s="251">
        <v>フロー</v>
      </c>
      <c r="B29" t="str" s="252">
        <v>exterior_cover_type</v>
      </c>
      <c r="C29" t="str" s="252">
        <v>survey_cover_top,survey_cover_bottom,survey_cover_side</v>
      </c>
      <c r="D29" t="str" s="252">
        <v>{"label": "化粧カバーの大きさ・組合せ", "group": "exterior_finish", "internal": false}</v>
      </c>
      <c r="E29" t="str" s="253">
        <v>UI_PRESENTATION</v>
      </c>
      <c r="F29" t="str">
        <v>REPLUS_GLASS_APPEARANCE_FIRST_V13_20261014</v>
      </c>
    </row>
    <row r="30">
      <c r="A30" t="str" s="251">
        <v>フロー</v>
      </c>
      <c r="B30" t="str" s="252">
        <v>installation_method</v>
      </c>
      <c r="C30" t="str" s="252">
        <v>window_type</v>
      </c>
      <c r="D30" t="str" s="252">
        <v>{"label": "内はめ仕様", "group": "inner_fit", "internal": false}</v>
      </c>
      <c r="E30" t="str" s="253">
        <v>UI_PRESENTATION</v>
      </c>
      <c r="F30" t="str">
        <v>REPLUS_GLASS_APPEARANCE_FIRST_V13_20261014</v>
      </c>
    </row>
    <row r="31">
      <c r="A31" t="str" s="251">
        <v>フロー</v>
      </c>
      <c r="B31" t="str" s="252">
        <v>inner_fit_required_component</v>
      </c>
      <c r="C31" t="str" s="252">
        <v>installation_method</v>
      </c>
      <c r="D31" t="str" s="252">
        <v>{"label": "内はめ用の必須部材", "group": "inner_fit", "internal": true, "salesDisplay": false}</v>
      </c>
      <c r="E31" t="str" s="253">
        <v>USER_PRESENTATION_POLICY</v>
      </c>
      <c r="F31" t="str">
        <v>REPLUS_GLASS_APPEARANCE_FIRST_V13_20261014</v>
      </c>
    </row>
    <row r="32">
      <c r="A32" t="str" s="251">
        <v>フロー</v>
      </c>
      <c r="B32" t="str" s="252">
        <v>dimension_basis</v>
      </c>
      <c r="C32" t="str" s="252"/>
      <c r="D32" t="str" s="252">
        <v>{"label": "入力する寸法", "group": "size", "internal": false}</v>
      </c>
      <c r="E32" t="str" s="253">
        <v>UI_PRESENTATION</v>
      </c>
      <c r="F32" t="str">
        <v>REPLUS_GLASS_APPEARANCE_FIRST_V13_20261014</v>
      </c>
    </row>
    <row r="33">
      <c r="A33" t="str" s="251">
        <v>フロー</v>
      </c>
      <c r="B33" t="str" s="252">
        <v>survey_width</v>
      </c>
      <c r="C33" t="str" s="252">
        <v>dimension_basis</v>
      </c>
      <c r="D33" t="str" s="252">
        <v>{"label": "採寸幅 WS（mm）", "group": "size", "internal": false}</v>
      </c>
      <c r="E33" t="str" s="253">
        <v>UI_PRESENTATION</v>
      </c>
      <c r="F33" t="str">
        <v>REPLUS_GLASS_APPEARANCE_FIRST_V13_20261014</v>
      </c>
    </row>
    <row r="34">
      <c r="A34" t="str">
        <v>フロー</v>
      </c>
      <c r="B34" t="str">
        <v>survey_height</v>
      </c>
      <c r="C34" t="str">
        <v>dimension_basis</v>
      </c>
      <c r="D34" t="str">
        <v>{"label": "採寸高さ HS（mm）", "group": "size", "internal": false}</v>
      </c>
      <c r="E34" t="str">
        <v>UI_PRESENTATION</v>
      </c>
      <c r="F34" t="str">
        <v>REPLUS_GLASS_APPEARANCE_FIRST_V13_20261014</v>
      </c>
    </row>
    <row r="35">
      <c r="A35" t="str">
        <v>フロー</v>
      </c>
      <c r="B35" t="str">
        <v>custom_width</v>
      </c>
      <c r="C35" t="str">
        <v>dimension_basis</v>
      </c>
      <c r="D35" t="str">
        <v>{"label": "製品仕上がり幅 WD（mm）", "group": "size", "internal": false}</v>
      </c>
      <c r="E35" t="str">
        <v>UI_PRESENTATION</v>
      </c>
      <c r="F35" t="str">
        <v>REPLUS_GLASS_APPEARANCE_FIRST_V13_20261014</v>
      </c>
    </row>
    <row r="36">
      <c r="A36" t="str">
        <v>フロー</v>
      </c>
      <c r="B36" t="str">
        <v>custom_height</v>
      </c>
      <c r="C36" t="str">
        <v>dimension_basis</v>
      </c>
      <c r="D36" t="str">
        <v>{"label": "製品仕上がり高さ HD（mm）", "group": "size", "internal": false}</v>
      </c>
      <c r="E36" t="str">
        <v>UI_PRESENTATION</v>
      </c>
      <c r="F36" t="str">
        <v>REPLUS_GLASS_APPEARANCE_FIRST_V13_20261014</v>
      </c>
    </row>
    <row r="37">
      <c r="A37" t="str">
        <v>FIELD_PATCH</v>
      </c>
      <c r="B37" t="str">
        <v>glass_appearance</v>
      </c>
      <c r="C37" t="str">
        <v>glass_category</v>
      </c>
      <c r="D37" t="str">
        <v>{"key": "glass_appearance", "displayLabel": "ガラス種", "dataType": "ENUM", "displayOrder": 710, "required": false, "autoSelectSingle": false, "parentFields": ["glass_category"], "selector": {"glass_category": {"$exists": true}}, "choices": [{"value": "MILKY", "displayLabel": "乳白", "selector": {"glass_category": {"$exists": true}}, "evidenceIds": ["EV-V8-GLASS-DIAGRAM"], "metadata": {"manualCheck": true, "estimateConfirmationRequired": true}, "displayOrder": 4}, {"value": "CLEAR", "displayLabel": "透明", "selector": {"glass_category": {"$exists": true}}, "evidenceIds": ["EV-V8-GLASS-DIAGRAM"], "metadata": {"manualCheck": true, "estimateConfirmationRequired": true}, "displayOrder": 1}, {"value": "OBSCURE", "displayLabel": "型板", "selector": {"glass_category": {"$exists": true}}, "evidenceIds": ["EV-V8-GLASS-DIAGRAM"], "metadata": {"manualCheck": true, "estimateConfirmationRequired": true}, "displayOrder": 2}, {"value": "FROST", "displayLabel": "フロスト", "selector": {"glass_category": {"$exists": true}}, "evidenceIds": ["EV-V8-GLASS-DIAGRAM"], "metadata": {"manualCheck": true, "estimateConfirmationRequired": true}, "displayOrder": 3}]}</v>
      </c>
      <c r="E37" t="str">
        <v>USER_FLOW_POLICY_WITH_EXISTING_EVIDENCE</v>
      </c>
      <c r="F37" t="str">
        <v>REPLUS_GLASS_APPEARANCE_FIRST_V13_20261014</v>
      </c>
    </row>
    <row r="38">
      <c r="A38" t="str">
        <v>FIELD_PATCH</v>
      </c>
      <c r="B38" t="str">
        <v>glass</v>
      </c>
      <c r="C38" t="str">
        <v>glass_category,glass_appearance,installation_region,window_type</v>
      </c>
      <c r="D38" t="str">
        <v>{"key": "glass", "displayLabel": "Low-E構成", "dataType": "ENUM", "displayOrder": 720, "choices": [{"value": "EW-D-CLEAR", "displayLabel": "クリア", "evidenceIds": ["EW-EV-004,008"], "selector": {"window_type": "RPL_EW_SLD", "glass_category": "EW-GL-DOUBLE"}, "metadata": {"manualCheck": true}}, {"value": "EW-D-GREEN", "displayLabel": "グリーン", "evidenceIds": ["EW-EV-004,008"], "selector": {"window_type": "RPL_EW_SLD", "glass_category": "EW-GL-DOUBLE"}, "metadata": {"manualCheck": true}}, {"value": "EW-D-GREEN-HS", "displayLabel": "グリーン（高遮熱仕様）", "evidenceIds": ["EW-EV-004,008"], "selector": {"window_type": "RPL_EW_SLD", "glass_category": "EW-GL-DOUBLE"}, "metadata": {"manualCheck": true}}, {"value": "EW-D-BRONZE", "displayLabel": "ブロンズ", "evidenceIds": ["EW-EV-004,008"], "selector": {"window_type": "RPL_EW_SLD", "glass_category": "EW-GL-DOUBLE", "installation_region": {"$in": ["北海道", "東北"]}}, "metadata": {"manualCheck": true}}, {"value": "EW-T-CC", "displayLabel": "クリア×クリア", "evidenceIds": ["EW-EV-004,008"], "selector": {"window_type": "RPL_EW_SLD", "glass_category": "EW-GL-TRIPLE"}, "metadata": {"manualCheck": true}}, {"value": "EW-T-GG", "displayLabel": "グリーン×グリーン", "evidenceIds": ["EW-EV-004,008"], "selector": {"window_type": "RPL_EW_SLD", "glass_category": "EW-GL-TRIPLE"}, "metadata": {"manualCheck": true}}, {"value": "EW-T-CG", "displayLabel": "クリア×グリーン", "evidenceIds": ["EW-EV-004,008"], "selector": {"window_type": "RPL_EW_SLD", "glass_category": "EW-GL-TRIPLE"}, "metadata": {"manualCheck": true}}, {"value": "EW-T-CB", "displayLabel": "クリア×ブロンズ", "evidenceIds": ["EW-EV-004,008"], "selector": {"window_type": "RPL_EW_SLD", "glass_category": "EW-GL-TRIPLE", "installation_region": {"$in": ["北海道", "東北"]}}, "metadata": {"manualCheck": true}}], "required": false, "autoSelectSingle": false, "parentFields": ["glass_category", "glass_appearance", "installation_region", "window_type"], "selector": {"glass_category": {"$exists": true}}}</v>
      </c>
      <c r="E38" t="str">
        <v>USER_FLOW_POLICY_WITH_EXISTING_EVIDENCE</v>
      </c>
      <c r="F38" t="str">
        <v>REPLUS_GLASS_APPEARANCE_FIRST_V13_20261014</v>
      </c>
    </row>
    <row r="39">
      <c r="A39" t="str">
        <v>FIELD_PATCH</v>
      </c>
      <c r="B39" t="str">
        <v>glass_function</v>
      </c>
      <c r="C39" t="str">
        <v>glass_category,glass_appearance,glass,window_type</v>
      </c>
      <c r="D39" t="str">
        <v>{"key": "glass_function", "displayLabel": "ガラス追加機能", "dataType": "ENUM", "displayOrder": 730, "required": false, "autoSelectSingle": false, "parentFields": ["glass_category", "glass_appearance", "glass", "window_type"], "selector": {"glass": {"$exists": true}}, "choices": [{"value": "NONE", "displayLabel": "なし（標準）", "selector": {"all": [{"glass_category": "EW-GL-DOUBLE", "glass": {"$exists": true}}, {"not": {"glass_appearance": "MILKY"}}]}, "evidenceIds": ["EV-V8-GLASS-DIAGRAM"], "metadata": {"manualCheck": false, "estimateConfirmationRequired": false}, "displayOrder": 1}, {"value": "SAFETY", "displayLabel": "安全合わせ", "selector": {"all": [{"glass_category": "EW-GL-DOUBLE", "glass": {"$exists": true}}, {"not": {"glass_appearance": "MILKY"}}]}, "evidenceIds": ["EV-V8-GLASS-DIAGRAM"], "metadata": {"manualCheck": true, "estimateConfirmationRequired": true}, "displayOrder": 2}, {"value": "MILKY", "displayLabel": "安全合わせ乳白タイプ", "selector": {"all": [{"glass_category": "EW-GL-DOUBLE", "glass": {"$exists": true}}, {"glass_appearance": "MILKY"}]}, "evidenceIds": ["EV-V8-GLASS-DIAGRAM"], "metadata": {"manualCheck": true, "estimateConfirmationRequired": true}, "displayOrder": 3}, {"value": "NONE", "displayLabel": "なし（標準）", "selector": {"all": [{"glass_category": "EW-GL-TRIPLE", "glass": {"$exists": true}}, {"not": {"glass_appearance": "MILKY"}}]}, "evidenceIds": ["EV-V8-GLASS-DIAGRAM"], "metadata": {"manualCheck": false, "estimateConfirmationRequired": false}, "displayOrder": 1}, {"value": "SAFETY", "displayLabel": "安全合わせ", "selector": {"all": [{"glass_category": "EW-GL-TRIPLE", "glass": {"$exists": true}}, {"not": {"glass_appearance": "MILKY"}}]}, "evidenceIds": ["EV-V8-GLASS-DIAGRAM"], "metadata": {"manualCheck": true, "estimateConfirmationRequired": true}, "displayOrder": 2}, {"value": "MILKY", "displayLabel": "安全合わせ乳白タイプ", "selector": {"all": [{"glass_category": "EW-GL-TRIPLE", "glass": {"$exists": true}}, {"glass_appearance": "MILKY"}]}, "evidenceIds": ["EV-V8-GLASS-DIAGRAM"], "metadata": {"manualCheck": true, "estimateConfirmationRequired": true}, "displayOrder": 3}, {"value": "THIN", "displayLabel": "特殊薄板合わせ", "selector": {"all": [{"glass_category": "EW-GL-TRIPLE", "glass": {"$exists": true}}, {"not": {"glass_appearance": "MILKY"}}]}, "evidenceIds": ["EV-V8-GLASS-DIAGRAM"], "metadata": {"manualCheck": true, "estimateConfirmationRequired": true}, "displayOrder": 4}]}</v>
      </c>
      <c r="E39" t="str">
        <v>USER_FLOW_POLICY_WITH_EXISTING_EVIDENCE</v>
      </c>
      <c r="F39" t="str">
        <v>REPLUS_GLASS_APPEARANCE_FIRST_V13_20261014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>
  <sheetFormatPr defaultRowHeight="15"/>
  <cols>
    <col min="1" max="1" width="18" hidden="0" customWidth="1"/>
    <col min="2" max="2" width="20" hidden="0" customWidth="1"/>
    <col min="3" max="3" width="46" hidden="0" customWidth="1"/>
    <col min="4" max="4" width="18" hidden="0" customWidth="1"/>
    <col min="5" max="5" width="32" hidden="0" customWidth="1"/>
    <col min="6" max="6" width="62" hidden="0" customWidth="1"/>
    <col min="7" max="7" width="14" hidden="0" customWidth="1"/>
    <col min="8" max="8" width="16" hidden="0" customWidth="1"/>
    <col min="9" max="9" width="92" hidden="0" customWidth="1"/>
  </cols>
  <sheetData>
    <row r="1" ht="28" customHeight="1">
      <c r="A1" t="str" s="243">
        <v>90_Evidence｜EWタイプ 根拠管理</v>
      </c>
      <c r="B1" s="243"/>
      <c r="C1" s="243"/>
      <c r="D1" s="243"/>
      <c r="E1" s="243"/>
      <c r="F1" s="243"/>
      <c r="G1" s="243"/>
      <c r="H1" s="243"/>
      <c r="I1" s="243"/>
    </row>
    <row r="2" ht="38" customHeight="1">
      <c r="A2" t="str" s="244">
        <v>EW確定値はEW-EVを保持。2026業務用資料を最優先し、商品カタログ・現行Webを突合。</v>
      </c>
      <c r="B2" s="244"/>
      <c r="C2" s="244"/>
      <c r="D2" s="244"/>
      <c r="E2" s="244"/>
      <c r="F2" s="244"/>
      <c r="G2" s="244"/>
      <c r="H2" s="244"/>
      <c r="I2" s="244"/>
    </row>
    <row r="3">
      <c r="A3"/>
      <c r="B3"/>
      <c r="C3"/>
      <c r="D3"/>
      <c r="E3"/>
      <c r="F3"/>
      <c r="G3"/>
      <c r="H3"/>
      <c r="I3"/>
    </row>
    <row r="4" ht="30" customHeight="1">
      <c r="A4" t="str" s="248">
        <v>evidence_id</v>
      </c>
      <c r="B4" t="str" s="249">
        <v>情報源種別</v>
      </c>
      <c r="C4" t="str" s="249">
        <v>資料名</v>
      </c>
      <c r="D4" t="str" s="249">
        <v>発行年月</v>
      </c>
      <c r="E4" t="str" s="249">
        <v>ページ/箇所</v>
      </c>
      <c r="F4" t="str" s="249">
        <v>URL</v>
      </c>
      <c r="G4" t="str" s="249">
        <v>確認日</v>
      </c>
      <c r="H4" t="str" s="249">
        <v>確度</v>
      </c>
      <c r="I4" t="str" s="250">
        <v>根拠内容</v>
      </c>
    </row>
    <row r="5">
      <c r="A5" t="str" s="251">
        <v>EW-EV-001</v>
      </c>
      <c r="B5" t="str" s="252">
        <v>共通仕様</v>
      </c>
      <c r="C5" t="str" s="252">
        <v>サッシ商品マスター共通仕様書_v0.1</v>
      </c>
      <c r="D5" t="str" s="252">
        <v>2026-08-30更新</v>
      </c>
      <c r="E5" t="str" s="252">
        <v>§31-34ほか</v>
      </c>
      <c r="F5" t="str" s="252">
        <v>https://docs.google.com/document/d/1MfixkbV1cZ__DtBknEKsix_nnrXQqjc-LZtXUHwJv_A/edit</v>
      </c>
      <c r="G5" t="str" s="252">
        <v>2026-08-31</v>
      </c>
      <c r="H5" t="str" s="252">
        <v>HIGH</v>
      </c>
      <c r="I5" t="str" s="253">
        <v>条件判定・耐風圧特殊案件・OP依存・UI非表示</v>
      </c>
    </row>
    <row r="6">
      <c r="A6" t="str" s="251">
        <v>EW-EV-002</v>
      </c>
      <c r="B6" t="str" s="252">
        <v>業務用資料集</v>
      </c>
      <c r="C6" t="str" s="252">
        <v>リプラス・リプラスマンション用 取替窓 業務用資料集</v>
      </c>
      <c r="D6" t="str" s="252">
        <v>2026-04</v>
      </c>
      <c r="E6" t="str" s="252">
        <v>目次/居室仕様EWタイプ完成品価格表</v>
      </c>
      <c r="F6" t="str" s="252">
        <v>https://drive.google.com/file/d/1D1HPMXhOMYd_Lu10XNzzJR2TH3aDHVUr/view</v>
      </c>
      <c r="G6" t="str" s="252">
        <v>2026-08-31</v>
      </c>
      <c r="H6" t="str" s="252">
        <v>HIGH</v>
      </c>
      <c r="I6" t="str" s="253">
        <v>EWタイプ商品体系、引違い窓・2枚建</v>
      </c>
    </row>
    <row r="7">
      <c r="A7" t="str" s="251">
        <v>EW-EV-003</v>
      </c>
      <c r="B7" t="str" s="252">
        <v>商品カタログ</v>
      </c>
      <c r="C7" t="str" s="252">
        <v>LIXIL リプラス 商品カタログ SN1200</v>
      </c>
      <c r="D7" t="str" s="252">
        <v>2025-08</v>
      </c>
      <c r="E7" t="str" s="252">
        <v>p.29/p.70ほか</v>
      </c>
      <c r="F7" t="str" s="252">
        <v>https://drive.google.com/file/d/1wH1nhmsftl6y8Mp7y6twtoXSi6rxqxzT/view</v>
      </c>
      <c r="G7" t="str" s="252">
        <v>2026-08-31</v>
      </c>
      <c r="H7" t="str" s="252">
        <v>HIGH</v>
      </c>
      <c r="I7" t="str" s="253">
        <v>EWタイプ商品体系・色・代表構成</v>
      </c>
    </row>
    <row r="8">
      <c r="A8" t="str" s="251">
        <v>EW-EV-004</v>
      </c>
      <c r="B8" t="str" s="252">
        <v>公式Web</v>
      </c>
      <c r="C8" t="str" s="252">
        <v>LIXIL リプラス 居室仕様 EWタイプ</v>
      </c>
      <c r="D8" t="str" s="252">
        <v>現行</v>
      </c>
      <c r="E8" t="str" s="252">
        <v>品種/色/ガラス/網戸</v>
      </c>
      <c r="F8" t="str" s="252">
        <v>https://www.lixil.co.jp/lineup/window/replus/variation/ew-type/</v>
      </c>
      <c r="G8" t="str" s="252">
        <v>2026-08-31</v>
      </c>
      <c r="H8" t="str" s="252">
        <v>HIGH</v>
      </c>
      <c r="I8" t="str" s="253">
        <v>現行EW品種、色、ガラス、地域限定、網戸ネット</v>
      </c>
    </row>
    <row r="9">
      <c r="A9" t="str" s="251">
        <v>EW-EV-005</v>
      </c>
      <c r="B9" t="str" s="252">
        <v>業務用資料集</v>
      </c>
      <c r="C9" t="str" s="252">
        <v>同上</v>
      </c>
      <c r="D9" t="str" s="252">
        <v>2026-04</v>
      </c>
      <c r="E9" t="str" s="252">
        <v>EWタイプ部材構成/完成品価格表</v>
      </c>
      <c r="F9" t="str" s="252">
        <v>https://drive.google.com/file/d/1D1HPMXhOMYd_Lu10XNzzJR2TH3aDHVUr/view</v>
      </c>
      <c r="G9" t="str" s="252">
        <v>2026-08-31</v>
      </c>
      <c r="H9" t="str" s="252">
        <v>HIGH</v>
      </c>
      <c r="I9" t="str" s="253">
        <v>PG/TG/PGセレクト/TGセレクト、網戸、室内樹脂カバー、アルゴン＋樹脂</v>
      </c>
    </row>
    <row r="10">
      <c r="A10" t="str" s="251">
        <v>EW-EV-006</v>
      </c>
      <c r="B10" t="str" s="252">
        <v>業務用資料集</v>
      </c>
      <c r="C10" t="str" s="252">
        <v>同上</v>
      </c>
      <c r="D10" t="str" s="252">
        <v>2026-04</v>
      </c>
      <c r="E10" t="str" s="252">
        <v>EWタイプマド/テラス価格表</v>
      </c>
      <c r="F10" t="str" s="252">
        <v>https://drive.google.com/file/d/1D1HPMXhOMYd_Lu10XNzzJR2TH3aDHVUr/view</v>
      </c>
      <c r="G10" t="str" s="252">
        <v>2026-08-31</v>
      </c>
      <c r="H10" t="str" s="252">
        <v>HIGH</v>
      </c>
      <c r="I10" t="str" s="253">
        <v>2枚建のみ、セレクト障子・把手価格体系</v>
      </c>
    </row>
    <row r="11">
      <c r="A11" t="str" s="251">
        <v>EW-EV-007</v>
      </c>
      <c r="B11" t="str" s="252">
        <v>商品カタログ</v>
      </c>
      <c r="C11" t="str" s="252">
        <v>LIXIL リプラス 商品カタログ SN1200</v>
      </c>
      <c r="D11" t="str" s="252">
        <v>2025-08</v>
      </c>
      <c r="E11" t="str" s="252">
        <v>p.99</v>
      </c>
      <c r="F11" t="str" s="252">
        <v>https://drive.google.com/file/d/1wH1nhmsftl6y8Mp7y6twtoXSi6rxqxzT/view</v>
      </c>
      <c r="G11" t="str" s="252">
        <v>2026-08-31</v>
      </c>
      <c r="H11" t="str" s="252">
        <v>HIGH</v>
      </c>
      <c r="I11" t="str" s="253">
        <v>EW寸法特注範囲、WD/HD、境界式、内嵌め/ガラス完成品網掛け</v>
      </c>
    </row>
    <row r="12">
      <c r="A12" t="str" s="251">
        <v>EW-EV-008</v>
      </c>
      <c r="B12" t="str" s="252">
        <v>商品カタログ</v>
      </c>
      <c r="C12" t="str" s="252">
        <v>同上</v>
      </c>
      <c r="D12" t="str" s="252">
        <v>2025-08</v>
      </c>
      <c r="E12" t="str" s="252">
        <v>p.52/p.60付近</v>
      </c>
      <c r="F12" t="str" s="252">
        <v>https://drive.google.com/file/d/1wH1nhmsftl6y8Mp7y6twtoXSi6rxqxzT/view</v>
      </c>
      <c r="G12" t="str" s="252">
        <v>2026-08-31</v>
      </c>
      <c r="H12" t="str" s="252">
        <v>HIGH</v>
      </c>
      <c r="I12" t="str" s="253">
        <v>EW Low-E複層/トリプル、Low-E色、アルゴン、樹脂スペーサー、追加機能</v>
      </c>
    </row>
    <row r="13">
      <c r="A13" t="str" s="251">
        <v>EW-EV-009</v>
      </c>
      <c r="B13" t="str" s="252">
        <v>商品カタログ</v>
      </c>
      <c r="C13" t="str" s="252">
        <v>同上</v>
      </c>
      <c r="D13" t="str" s="252">
        <v>2025-08</v>
      </c>
      <c r="E13" t="str" s="252">
        <v>p.124</v>
      </c>
      <c r="F13" t="str" s="252">
        <v>https://drive.google.com/file/d/1wH1nhmsftl6y8Mp7y6twtoXSi6rxqxzT/view</v>
      </c>
      <c r="G13" t="str" s="252">
        <v>2026-08-31</v>
      </c>
      <c r="H13" t="str" s="252">
        <v>HIGH</v>
      </c>
      <c r="I13" t="str" s="253">
        <v>有償品取付可否、EW非適用OP、室内樹脂カバー/把手</v>
      </c>
    </row>
    <row r="14">
      <c r="A14" t="str" s="251">
        <v>EW-EV-010</v>
      </c>
      <c r="B14" t="str" s="252">
        <v>業務用資料集</v>
      </c>
      <c r="C14" t="str" s="252">
        <v>同上</v>
      </c>
      <c r="D14" t="str" s="252">
        <v>2026-04</v>
      </c>
      <c r="E14" t="str" s="252">
        <v>EWタイプ有償品/セレクト障子</v>
      </c>
      <c r="F14" t="str" s="252">
        <v>https://drive.google.com/file/d/1D1HPMXhOMYd_Lu10XNzzJR2TH3aDHVUr/view</v>
      </c>
      <c r="G14" t="str" s="252">
        <v>2026-08-31</v>
      </c>
      <c r="H14" t="str" s="252">
        <v>HIGH</v>
      </c>
      <c r="I14" t="str" s="253">
        <v>PGセレクト=大型把手、TGセレクト=アシスト把手</v>
      </c>
    </row>
    <row r="15">
      <c r="A15" t="str" s="251">
        <v>EW-EV-011</v>
      </c>
      <c r="B15" t="str" s="252">
        <v>商品カタログ</v>
      </c>
      <c r="C15" t="str" s="252">
        <v>LIXIL リプラス 商品カタログ SN1200</v>
      </c>
      <c r="D15" t="str" s="252">
        <v>2025-08</v>
      </c>
      <c r="E15" t="str" s="252">
        <v>p.242-243付近</v>
      </c>
      <c r="F15" t="str" s="252">
        <v>https://drive.google.com/file/d/1wH1nhmsftl6y8Mp7y6twtoXSi6rxqxzT/view</v>
      </c>
      <c r="G15" t="str" s="252">
        <v>2026-08-31</v>
      </c>
      <c r="H15" t="str" s="252">
        <v>HIGH</v>
      </c>
      <c r="I15" t="str" s="253">
        <v>EW現調/発注シート：3点採寸、見付、枠見込み、下枠、施工区分、室内樹脂カバーA/B/C、網戸</v>
      </c>
    </row>
    <row r="16">
      <c r="A16" t="str" s="254">
        <v>EW-EV-012</v>
      </c>
      <c r="B16" t="str" s="255">
        <v>商品カタログ</v>
      </c>
      <c r="C16" t="str" s="255">
        <v>同上</v>
      </c>
      <c r="D16" t="str" s="255">
        <v>2025-08</v>
      </c>
      <c r="E16" t="str" s="255">
        <v>p.109付近</v>
      </c>
      <c r="F16" t="str" s="255">
        <v>https://drive.google.com/file/d/1wH1nhmsftl6y8Mp7y6twtoXSi6rxqxzT/view</v>
      </c>
      <c r="G16" t="str" s="255">
        <v>2026-08-31</v>
      </c>
      <c r="H16" t="str" s="255">
        <v>HIGH</v>
      </c>
      <c r="I16" t="str" s="256">
        <v>ガラス面積・戸車耐荷重・ガラス完成品製作範囲</v>
      </c>
    </row>
    <row r="17">
      <c r="A17" t="str" s="187">
        <v>DELTA-SPACER-EV-V4</v>
      </c>
      <c r="B17" t="str" s="188">
        <v>公式業務用資料集</v>
      </c>
      <c r="C17" t="str" s="188">
        <v>IS9800</v>
      </c>
      <c r="D17" t="str" s="188">
        <v>2026-10</v>
      </c>
      <c r="E17" t="str" s="188">
        <v>PDF 52,104,116,120</v>
      </c>
      <c r="F17" t="str" s="188">
        <v>https://webcatalog.lixil.co.jp/cgi-bin/openCatalog.cgi?c=IS9800&amp;d=newinter</v>
      </c>
      <c r="G17" t="str" s="188">
        <v>2026-10-14</v>
      </c>
      <c r="H17" t="str" s="188">
        <v>HIGH</v>
      </c>
      <c r="I17" t="str" s="189">
        <v>ADD_15x20_SPACER / NEW_CANDIDATE、Current未採用</v>
      </c>
    </row>
    <row r="18">
      <c r="A18" t="str" s="35">
        <v>DELTA-CASING-EV-V4</v>
      </c>
      <c r="B18" t="str" s="36">
        <v>公式業務用資料集</v>
      </c>
      <c r="C18" t="str" s="36">
        <v>IS9800</v>
      </c>
      <c r="D18" t="str" s="36">
        <v>2026-10</v>
      </c>
      <c r="E18" t="str" s="36">
        <v>PDF 51,115,119</v>
      </c>
      <c r="F18" t="str" s="36">
        <v>https://webcatalog.lixil.co.jp/cgi-bin/openCatalog.cgi?c=IS9800&amp;d=newinter</v>
      </c>
      <c r="G18" t="str" s="36">
        <v>2026-10-14</v>
      </c>
      <c r="H18" t="str" s="36">
        <v>HIGH</v>
      </c>
      <c r="I18" t="str" s="37">
        <v>UPDATE_WOODEN_CASING_COLOR_SCOPE / NEW_CANDIDATE、Current未採用</v>
      </c>
    </row>
    <row r="19">
      <c r="A19" t="str" s="35">
        <v>DELTA-FILLER-EV-V4</v>
      </c>
      <c r="B19" t="str" s="36">
        <v>公式業務用資料集</v>
      </c>
      <c r="C19" t="str" s="36">
        <v>IS9800</v>
      </c>
      <c r="D19" t="str" s="36">
        <v>2026-10</v>
      </c>
      <c r="E19" t="str" s="36">
        <v>PDF 51,115,119</v>
      </c>
      <c r="F19" t="str" s="36">
        <v>https://webcatalog.lixil.co.jp/cgi-bin/openCatalog.cgi?c=IS9800&amp;d=newinter</v>
      </c>
      <c r="G19" t="str" s="36">
        <v>2026-10-14</v>
      </c>
      <c r="H19" t="str" s="36">
        <v>HIGH</v>
      </c>
      <c r="I19" t="str" s="37">
        <v>UPDATE_FILLER_NAME_AND_VARIANTS / NEW_CANDIDATE、Current未採用</v>
      </c>
    </row>
    <row r="20">
      <c r="A20" t="str" s="38">
        <v>DELTA-EW-CAPTION-EV-V4</v>
      </c>
      <c r="B20" t="str" s="39">
        <v>公式業務用資料集</v>
      </c>
      <c r="C20" t="str" s="39">
        <v>IS9800</v>
      </c>
      <c r="D20" t="str" s="39">
        <v>2026-10</v>
      </c>
      <c r="E20" t="str" s="39">
        <v>PDF 42</v>
      </c>
      <c r="F20" t="str" s="39">
        <v>https://webcatalog.lixil.co.jp/cgi-bin/openCatalog.cgi?c=IS9800&amp;d=newinter</v>
      </c>
      <c r="G20" t="str" s="39">
        <v>2026-10-14</v>
      </c>
      <c r="H20" t="str" s="39">
        <v>HIGH</v>
      </c>
      <c r="I20" t="str" s="40">
        <v>CARRY_FORWARD_TECHNICAL_DIMENSIONS / NEW_CANDIDATE、Current未採用</v>
      </c>
    </row>
    <row r="21">
      <c r="A21" t="str" s="28">
        <v>DELTA-LEADTIME-EV-V4</v>
      </c>
      <c r="B21" t="str" s="28">
        <v>公式業務用資料集</v>
      </c>
      <c r="C21" t="str" s="28">
        <v>IS9800</v>
      </c>
      <c r="D21" t="str" s="28">
        <v>2026-10</v>
      </c>
      <c r="E21" t="str" s="28">
        <v>PDF 235</v>
      </c>
      <c r="F21" t="str" s="28">
        <v>https://webcatalog.lixil.co.jp/cgi-bin/openCatalog.cgi?c=IS9800&amp;d=newinter</v>
      </c>
      <c r="G21" t="str" s="28">
        <v>2026-10-14</v>
      </c>
      <c r="H21" t="str" s="28">
        <v>HIGH</v>
      </c>
      <c r="I21" t="str" s="28">
        <v>SOURCE_NOTE_ONLY / NEW_CANDIDATE、Current未採用</v>
      </c>
    </row>
    <row r="22">
      <c r="A22" t="str" s="28">
        <v>EV-DIMENSIONS-INNER-FIT-V11</v>
      </c>
      <c r="B22" t="str" s="28">
        <v>公式商品カタログ</v>
      </c>
      <c r="C22" t="str" s="28">
        <v>リプラス SN1200</v>
      </c>
      <c r="D22" t="str" s="28">
        <v>2025-08</v>
      </c>
      <c r="E22" t="str" s="28">
        <v>PDF252/254・231/233/247/249/251</v>
      </c>
      <c r="F22" t="str" s="28">
        <v>https://drive.google.com/file/d/1wH1nhmsftl6y8Mp7y6twtoXSi6rxqxzT/view</v>
      </c>
      <c r="G22" t="str" s="28">
        <v>2026-10-14</v>
      </c>
      <c r="H22" t="str" s="28">
        <v>HIGH</v>
      </c>
      <c r="I22" t="str" s="28">
        <v>採寸/出来寸の相互換算と標準/内はめの施工仕様を共通Runtimeへ接続</v>
      </c>
    </row>
    <row r="23">
      <c r="A23" s="28"/>
      <c r="B23" s="28"/>
      <c r="C23" s="28"/>
      <c r="D23" s="28"/>
      <c r="E23" s="28"/>
      <c r="F23" s="28"/>
      <c r="G23" s="28"/>
      <c r="H23" s="28"/>
      <c r="I23" s="28"/>
    </row>
    <row r="24">
      <c r="A24" s="28"/>
      <c r="B24" s="28"/>
      <c r="C24" s="28"/>
      <c r="D24" s="28"/>
      <c r="E24" s="28"/>
      <c r="F24" s="28"/>
      <c r="G24" s="28"/>
      <c r="H24" s="28"/>
      <c r="I24" s="28"/>
    </row>
    <row r="25">
      <c r="A25" s="28"/>
      <c r="B25" s="28"/>
      <c r="C25" s="28"/>
      <c r="D25" s="28"/>
      <c r="E25" s="28"/>
      <c r="F25" s="28"/>
      <c r="G25" s="28"/>
      <c r="H25" s="28"/>
      <c r="I25" s="28"/>
    </row>
    <row r="26">
      <c r="A26" s="28"/>
      <c r="B26" s="28"/>
      <c r="C26" s="28"/>
      <c r="D26" s="28"/>
      <c r="E26" s="28"/>
      <c r="F26" s="28"/>
      <c r="G26" s="28"/>
      <c r="H26" s="28"/>
      <c r="I26" s="28"/>
    </row>
  </sheetData>
  <mergeCells>
    <mergeCell ref="A1:I1"/>
    <mergeCell ref="A2:I2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76" hidden="0" customWidth="1"/>
    <x:col min="4" max="4" width="28" hidden="0" customWidth="1"/>
  </x:cols>
  <x:sheetData>
    <x:row r="1" ht="28" customHeight="1">
      <x:c r="A1" s="243" t="str">
        <x:v>LIXIL リプラス 居室仕様 EWタイプ｜商品マスター v1.0 完成版 INDEX</x:v>
      </x:c>
      <x:c r="B1" s="243"/>
      <x:c r="C1" s="243"/>
      <x:c r="D1" s="243"/>
    </x:row>
    <x:row r="2" ht="38" customHeight="1">
      <x:c r="A2" s="244" t="str">
        <x:v>既存の居室仕様/TWタイプ完成版を基準モデルに、EWタイプ固有差分のみ独立投入。共通ルールは参照し、EW固有現調条件で上書き。</x:v>
      </x:c>
      <x:c r="B2" s="244"/>
      <x:c r="C2" s="244"/>
      <x:c r="D2" s="244"/>
    </x:row>
    <x:row r="4" ht="30" customHeight="1">
      <x:c r="A4" s="248" t="str">
        <x:v>項目</x:v>
      </x:c>
      <x:c r="B4" s="249" t="str">
        <x:v>状態</x:v>
      </x:c>
      <x:c r="C4" s="249" t="str">
        <x:v>内容</x:v>
      </x:c>
      <x:c r="D4" s="250" t="str">
        <x:v>Evidence</x:v>
      </x:c>
    </x:row>
    <x:row r="5">
      <x:c r="A5" s="251" t="str">
        <x:v>対象</x:v>
      </x:c>
      <x:c r="B5" s="252" t="str">
        <x:v>LIXIL リプラス</x:v>
      </x:c>
      <x:c r="C5" s="252" t="str">
        <x:v>居室仕様 EWタイプ（RPL_EW）</x:v>
      </x:c>
      <x:c r="D5" s="253" t="str">
        <x:v>v1.0 完成版</x:v>
      </x:c>
    </x:row>
    <x:row r="6">
      <x:c r="A6" s="251" t="str">
        <x:v>installation_system</x:v>
      </x:c>
      <x:c r="B6" s="252" t="str">
        <x:v>RPL_DIRECT</x:v>
      </x:c>
      <x:c r="C6" s="252" t="str">
        <x:v>リプラス専用取替枠</x:v>
      </x:c>
      <x:c r="D6" s="253" t="str">
        <x:v>既存構造継承</x:v>
      </x:c>
    </x:row>
    <x:row r="7">
      <x:c r="A7" s="251" t="str">
        <x:v>窓種</x:v>
      </x:c>
      <x:c r="B7" s="252" t="str">
        <x:v>COMPLETE</x:v>
      </x:c>
      <x:c r="C7" s="252" t="str">
        <x:v>引違い窓のみ</x:v>
      </x:c>
      <x:c r="D7" s="253" t="str">
        <x:v>EW-EV-002,003,004</x:v>
      </x:c>
    </x:row>
    <x:row r="8">
      <x:c r="A8" s="251" t="str">
        <x:v>建数/高さ区分</x:v>
      </x:c>
      <x:c r="B8" s="252" t="str">
        <x:v>COMPLETE</x:v>
      </x:c>
      <x:c r="C8" s="252" t="str">
        <x:v>2枚建のみ、マド/テラス</x:v>
      </x:c>
      <x:c r="D8" s="253" t="str">
        <x:v>EW-EV-005,006</x:v>
      </x:c>
    </x:row>
    <x:row r="9">
      <x:c r="A9" s="251" t="str">
        <x:v>障子体系</x:v>
      </x:c>
      <x:c r="B9" s="252" t="str">
        <x:v>COMPLETE</x:v>
      </x:c>
      <x:c r="C9" s="252" t="str">
        <x:v>PG/TG/PGセレクト/TGセレクト</x:v>
      </x:c>
      <x:c r="D9" s="253" t="str">
        <x:v>EW-EV-005,006</x:v>
      </x:c>
    </x:row>
    <x:row r="10">
      <x:c r="A10" s="251" t="str">
        <x:v>サイズ</x:v>
      </x:c>
      <x:c r="B10" s="252" t="str">
        <x:v>COMPLETE</x:v>
      </x:c>
      <x:c r="C10" s="252" t="str">
        <x:v>採寸WS/HS・出来寸WD/HD・公開境界式</x:v>
      </x:c>
      <x:c r="D10" s="253" t="str">
        <x:v>EW-EV-007</x:v>
      </x:c>
    </x:row>
    <x:row r="11">
      <x:c r="A11" s="251" t="str">
        <x:v>色</x:v>
      </x:c>
      <x:c r="B11" s="252" t="str">
        <x:v>COMPLETE</x:v>
      </x:c>
      <x:c r="C11" s="252" t="str">
        <x:v>外観4色×内観ピュアホワイト固定、カバー色分離</x:v>
      </x:c>
      <x:c r="D11" s="253" t="str">
        <x:v>EW-EV-003,004</x:v>
      </x:c>
    </x:row>
    <x:row r="12">
      <x:c r="A12" s="251" t="str">
        <x:v>網戸</x:v>
      </x:c>
      <x:c r="B12" s="252" t="str">
        <x:v>COMPLETE</x:v>
      </x:c>
      <x:c r="C12" s="252" t="str">
        <x:v>引違い網戸、4ネット。中桟選択なし</x:v>
      </x:c>
      <x:c r="D12" s="253" t="str">
        <x:v>EW-EV-004,005,011</x:v>
      </x:c>
    </x:row>
    <x:row r="13">
      <x:c r="A13" s="251" t="str">
        <x:v>ガラス</x:v>
      </x:c>
      <x:c r="B13" s="252" t="str">
        <x:v>COMPLETE</x:v>
      </x:c>
      <x:c r="C13" s="252" t="str">
        <x:v>Low-E複層/Low-Eトリプル、アルゴン固定、樹脂スペーサー固定</x:v>
      </x:c>
      <x:c r="D13" s="253" t="str">
        <x:v>EW-EV-004,008</x:v>
      </x:c>
    </x:row>
    <x:row r="14">
      <x:c r="A14" s="251" t="str">
        <x:v>オプション</x:v>
      </x:c>
      <x:c r="B14" s="252" t="str">
        <x:v>COMPLETE</x:v>
      </x:c>
      <x:c r="C14" s="252" t="str">
        <x:v>室内樹脂カバーA/B/C・大型把手・アシスト把手等</x:v>
      </x:c>
      <x:c r="D14" s="253" t="str">
        <x:v>EW-EV-005,009,010,011</x:v>
      </x:c>
    </x:row>
    <x:row r="15">
      <x:c r="A15" s="251" t="str">
        <x:v>現調</x:v>
      </x:c>
      <x:c r="B15" s="252" t="str">
        <x:v>COMPLETE</x:v>
      </x:c>
      <x:c r="C15" s="252" t="str">
        <x:v>3点採寸、枠見込み≤103、下枠33～48.5、見付、施工区分</x:v>
      </x:c>
      <x:c r="D15" s="253" t="str">
        <x:v>EW-EV-011</x:v>
      </x:c>
    </x:row>
    <x:row r="16">
      <x:c r="A16" s="251" t="str">
        <x:v>特殊境界</x:v>
      </x:c>
      <x:c r="B16" s="252" t="str">
        <x:v>COMPLETE_WITH_EXTERNAL_CHECK</x:v>
      </x:c>
      <x:c r="C16" s="252" t="str">
        <x:v>内嵌め網掛け・ガラス面積/戸車耐荷重・耐風圧</x:v>
      </x:c>
      <x:c r="D16" s="253" t="str">
        <x:v>EW-EV-007,012</x:v>
      </x:c>
    </x:row>
    <x:row r="17">
      <x:c r="A17" s="254" t="str">
        <x:v>Evidence</x:v>
      </x:c>
      <x:c r="B17" s="255" t="str">
        <x:v>COMPLETE</x:v>
      </x:c>
      <x:c r="C17" s="255" t="str">
        <x:v>EW-EV-001～012</x:v>
      </x:c>
      <x:c r="D17" s="256" t="str">
        <x:v>—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4" hidden="0" customWidth="1"/>
  </x:cols>
  <x:sheetData>
    <x:row r="1" ht="28" customHeight="1">
      <x:c r="A1" s="243" t="str">
        <x:v>00_README｜LIXIL リプラス 居室仕様 EWタイプ v1.0 完成版</x:v>
      </x:c>
      <x:c r="B1" s="243"/>
    </x:row>
    <x:row r="2" ht="34" customHeight="1">
      <x:c r="A2" s="11"/>
      <x:c r="B2" s="11"/>
    </x:row>
    <x:row r="3">
      <x:c r="A3" s="248" t="str">
        <x:v>キー</x:v>
      </x:c>
      <x:c r="B3" s="250" t="str">
        <x:v>内容</x:v>
      </x:c>
    </x:row>
    <x:row r="4" ht="30" customHeight="1">
      <x:c r="A4" s="258" t="str">
        <x:v>master_id</x:v>
      </x:c>
      <x:c r="B4" s="259" t="str">
        <x:v>LIXIL_RPL_EW_V1_0</x:v>
      </x:c>
    </x:row>
    <x:row r="5">
      <x:c r="A5" s="251" t="str">
        <x:v>manufacturer</x:v>
      </x:c>
      <x:c r="B5" s="253" t="str">
        <x:v>LIXIL</x:v>
      </x:c>
    </x:row>
    <x:row r="6">
      <x:c r="A6" s="251" t="str">
        <x:v>series</x:v>
      </x:c>
      <x:c r="B6" s="253" t="str">
        <x:v>リプラス</x:v>
      </x:c>
    </x:row>
    <x:row r="7">
      <x:c r="A7" s="251" t="str">
        <x:v>installation_system</x:v>
      </x:c>
      <x:c r="B7" s="253" t="str">
        <x:v>RPL_DIRECT / リプラス専用取替枠</x:v>
      </x:c>
    </x:row>
    <x:row r="8">
      <x:c r="A8" s="251" t="str">
        <x:v>variation</x:v>
      </x:c>
      <x:c r="B8" s="253" t="str">
        <x:v>RPL_EW / 居室仕様 EWタイプ</x:v>
      </x:c>
    </x:row>
    <x:row r="9">
      <x:c r="A9" s="251" t="str">
        <x:v>window_scope</x:v>
      </x:c>
      <x:c r="B9" s="253" t="str">
        <x:v>引違い窓・2枚建のみ</x:v>
      </x:c>
    </x:row>
    <x:row r="10">
      <x:c r="A10" s="251" t="str">
        <x:v>frame_policy</x:v>
      </x:c>
      <x:c r="B10" s="253" t="str">
        <x:v>EWタイプは固定枠。標準枠/ブリッジ枠選択なし</x:v>
      </x:c>
    </x:row>
    <x:row r="11">
      <x:c r="A11" s="251" t="str">
        <x:v>dimension_basis</x:v>
      </x:c>
      <x:c r="B11" s="253" t="str">
        <x:v>採寸寸法 WS/HS と 出来寸 WD/HD を分離</x:v>
      </x:c>
    </x:row>
    <x:row r="12">
      <x:c r="A12" s="251" t="str">
        <x:v>size_formula</x:v>
      </x:c>
      <x:c r="B12" s="253" t="str">
        <x:v>WD=WS-10、HD=HS-10（2026業務用資料で確認）</x:v>
      </x:c>
    </x:row>
    <x:row r="13">
      <x:c r="A13" s="251" t="str">
        <x:v>glass_policy</x:v>
      </x:c>
      <x:c r="B13" s="253" t="str">
        <x:v>PG=Low-E複層、TG=Low-Eトリプル。gas=ARGON固定、spacer=RESIN固定</x:v>
      </x:c>
    </x:row>
    <x:row r="14">
      <x:c r="A14" s="251" t="str">
        <x:v>screen_policy</x:v>
      </x:c>
      <x:c r="B14" s="253" t="str">
        <x:v>引違い網戸のみ。中桟有無の選択軸なし</x:v>
      </x:c>
    </x:row>
    <x:row r="15">
      <x:c r="A15" s="251" t="str">
        <x:v>interior_cover_policy</x:v>
      </x:c>
      <x:c r="B15" s="253" t="str">
        <x:v>EWは樹脂アングルカバーではなく室内樹脂カバーA/B/C</x:v>
      </x:c>
    </x:row>
    <x:row r="16">
      <x:c r="A16" s="251" t="str">
        <x:v>normal_ui_policy</x:v>
      </x:c>
      <x:c r="B16" s="253" t="str">
        <x:v>選択不可候補は非表示。現調/施工条件は別レイヤー</x:v>
      </x:c>
    </x:row>
    <x:row r="17">
      <x:c r="A17" s="251" t="str">
        <x:v>external_check_policy</x:v>
      </x:c>
      <x:c r="B17" s="253" t="str">
        <x:v>内嵌め網掛け、ガラス面積/障子重量/戸車耐荷重、耐風圧は公式資料/見積システムへ</x:v>
      </x:c>
    </x:row>
    <x:row r="18">
      <x:c r="A18" s="251" t="str">
        <x:v>shared_rule_policy</x:v>
      </x:c>
      <x:c r="B18" s="253" t="str">
        <x:v>構造/防火/既設窓基本ルールは共通参照。ただしEW専用現調シートの禁止条件を優先</x:v>
      </x:c>
    </x:row>
    <x:row r="19">
      <x:c r="A19" s="251" t="str">
        <x:v>completion_status</x:v>
      </x:c>
      <x:c r="B19" s="253" t="str">
        <x:v>COMPLETE</x:v>
      </x:c>
    </x:row>
    <x:row r="20">
      <x:c r="A20" s="254" t="str">
        <x:v>canonical_destination</x:v>
      </x:c>
      <x:c r="B20" s="256" t="str">
        <x:v>01_住宅サッシ / 04_商品マスター / 01_LIXIL / リプラス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worksheet xmlns="http://schemas.openxmlformats.org/spreadsheetml/2006/main">
  <sheetFormatPr defaultRowHeight="15"/>
  <cols>
    <col min="1" max="1" width="8" hidden="0" customWidth="1"/>
    <col min="2" max="2" width="24" hidden="0" customWidth="1"/>
    <col min="3" max="3" width="28" hidden="0" customWidth="1"/>
    <col min="4" max="4" width="44" hidden="0" customWidth="1"/>
    <col min="5" max="5" width="68" hidden="0" customWidth="1"/>
  </cols>
  <sheetData>
    <row r="1" ht="28" customHeight="1">
      <c r="A1" t="str" s="243">
        <v>リプラス住宅用・グローバルセレクションフロー</v>
      </c>
      <c r="B1" s="243"/>
      <c r="C1" s="243"/>
      <c r="D1" s="243"/>
      <c r="E1" s="243"/>
      <c r="F1"/>
    </row>
    <row r="2">
      <c r="A2"/>
      <c r="B2"/>
      <c r="C2"/>
      <c r="D2"/>
      <c r="E2"/>
      <c r="F2"/>
    </row>
    <row r="3" ht="30" customHeight="1">
      <c r="A3" t="str" s="248">
        <v>順番</v>
      </c>
      <c r="B3" t="str" s="249">
        <v>表示項目</v>
      </c>
      <c r="C3" t="str" s="249">
        <v>データキー</v>
      </c>
      <c r="D3" t="str" s="249">
        <v>候補/入力</v>
      </c>
      <c r="E3" t="str" s="250">
        <v>制御方針</v>
      </c>
      <c r="F3"/>
    </row>
    <row r="4">
      <c r="A4" t="n" s="251">
        <v>1</v>
      </c>
      <c r="B4" t="str" s="252">
        <v>商品・リプラス仕様</v>
      </c>
      <c r="C4" t="str" s="252">
        <v>product / specification</v>
      </c>
      <c r="D4" t="str" s="252">
        <v>リプラス住宅用 → 仕様</v>
      </c>
      <c r="E4" t="str" s="253">
        <v>アプリ運用ルール</v>
      </c>
      <c r="F4"/>
    </row>
    <row r="5">
      <c r="A5" t="n" s="251">
        <v>2</v>
      </c>
      <c r="B5" t="str" s="252">
        <v>設置・施工条件</v>
      </c>
      <c r="C5" t="str" s="252">
        <v>context</v>
      </c>
      <c r="D5" t="str" s="252">
        <v>選択・確認</v>
      </c>
      <c r="E5" t="str" s="253">
        <v>対応する項目のみ表示</v>
      </c>
      <c r="F5"/>
    </row>
    <row r="6">
      <c r="A6" t="n" s="251">
        <v>3</v>
      </c>
      <c r="B6" t="str" s="252">
        <v>窓種・基本仕様</v>
      </c>
      <c r="C6" t="str" s="252">
        <v>opening</v>
      </c>
      <c r="D6" t="str" s="252">
        <v>選択・確認</v>
      </c>
      <c r="E6" t="str" s="253">
        <v>対応する項目のみ表示</v>
      </c>
      <c r="F6"/>
    </row>
    <row r="7">
      <c r="A7" t="n" s="251">
        <v>4</v>
      </c>
      <c r="B7" t="str" s="252">
        <v>本体色</v>
      </c>
      <c r="C7" t="str" s="252">
        <v>finish</v>
      </c>
      <c r="D7" t="str" s="252">
        <v>選択・確認</v>
      </c>
      <c r="E7" t="str" s="253">
        <v>対応する項目のみ表示</v>
      </c>
      <c r="F7"/>
    </row>
    <row r="8">
      <c r="A8" t="n" s="251">
        <v>5</v>
      </c>
      <c r="B8" t="str" s="252">
        <v>網戸</v>
      </c>
      <c r="C8" t="str" s="252">
        <v>screen</v>
      </c>
      <c r="D8" t="str" s="252">
        <v>選択・確認</v>
      </c>
      <c r="E8" t="str" s="253">
        <v>対応する項目のみ表示</v>
      </c>
      <c r="F8"/>
    </row>
    <row r="9">
      <c r="A9" t="n" s="251">
        <v>6</v>
      </c>
      <c r="B9" t="str" s="252">
        <v>ガラス</v>
      </c>
      <c r="C9" t="str" s="252">
        <v>glazing</v>
      </c>
      <c r="D9" t="str" s="252">
        <v>選択・確認</v>
      </c>
      <c r="E9" t="str" s="253">
        <v>対応する項目のみ表示</v>
      </c>
      <c r="F9"/>
    </row>
    <row r="10">
      <c r="A10" t="n" s="251">
        <v>7</v>
      </c>
      <c r="B10" t="str" s="252">
        <v>内はめ仕様</v>
      </c>
      <c r="C10" t="str" s="252">
        <v>inner_fit</v>
      </c>
      <c r="D10" t="str" s="252">
        <v>選択・確認</v>
      </c>
      <c r="E10" t="str" s="253">
        <v>ガラスの後で選択</v>
      </c>
      <c r="F10"/>
    </row>
    <row r="11">
      <c r="A11" t="n" s="251">
        <v>8</v>
      </c>
      <c r="B11" t="str" s="252">
        <v>室内側の仕上げ・アングルカバー</v>
      </c>
      <c r="C11" t="str" s="252">
        <v>interior_finish</v>
      </c>
      <c r="D11" t="str" s="252">
        <v>選択・確認</v>
      </c>
      <c r="E11" t="str" s="253">
        <v>対応する項目のみ表示</v>
      </c>
      <c r="F11"/>
    </row>
    <row r="12">
      <c r="A12" t="n" s="251">
        <v>9</v>
      </c>
      <c r="B12" t="str" s="252">
        <v>室外側の仕上げ・化粧カバー</v>
      </c>
      <c r="C12" t="str" s="252">
        <v>exterior_finish</v>
      </c>
      <c r="D12" t="str" s="252">
        <v>選択・確認</v>
      </c>
      <c r="E12" t="str" s="253">
        <v>対応する項目のみ表示</v>
      </c>
      <c r="F12"/>
    </row>
    <row r="13">
      <c r="A13" t="n" s="251">
        <v>10</v>
      </c>
      <c r="B13" t="str" s="252">
        <v>追加部材・オプション</v>
      </c>
      <c r="C13" t="str" s="252">
        <v>options</v>
      </c>
      <c r="D13" t="str" s="252">
        <v>選択・確認</v>
      </c>
      <c r="E13" t="str" s="253">
        <v>対応する項目のみ表示</v>
      </c>
      <c r="F13"/>
    </row>
    <row r="14">
      <c r="A14" t="n" s="251">
        <v>11</v>
      </c>
      <c r="B14" t="str" s="252">
        <v>選択した部材の仕様</v>
      </c>
      <c r="C14" t="str" s="252">
        <v>part_detail</v>
      </c>
      <c r="D14" t="str" s="252">
        <v>選択・確認</v>
      </c>
      <c r="E14" t="str" s="253">
        <v>対応する項目のみ表示</v>
      </c>
      <c r="F14"/>
    </row>
    <row r="15">
      <c r="A15" t="n" s="251">
        <v>12</v>
      </c>
      <c r="B15" t="str" s="252">
        <v>製品寸法</v>
      </c>
      <c r="C15" t="str" s="252">
        <v>size</v>
      </c>
      <c r="D15" t="str" s="252">
        <v>選択・確認</v>
      </c>
      <c r="E15" t="str" s="253">
        <v>採寸と仕上がりを併記</v>
      </c>
      <c r="F15"/>
    </row>
    <row r="16">
      <c r="A16" s="251"/>
      <c r="B16" s="252"/>
      <c r="C16" s="252"/>
      <c r="D16" s="252"/>
      <c r="E16" s="253"/>
      <c r="F16"/>
    </row>
    <row r="17">
      <c r="A17" s="251"/>
      <c r="B17" s="252"/>
      <c r="C17" s="252"/>
      <c r="D17" s="252"/>
      <c r="E17" s="253"/>
      <c r="F17"/>
    </row>
    <row r="18">
      <c r="A18" s="251"/>
      <c r="B18" s="252"/>
      <c r="C18" s="252"/>
      <c r="D18" s="252"/>
      <c r="E18" s="253"/>
      <c r="F18"/>
    </row>
    <row r="19">
      <c r="A19" s="251"/>
      <c r="B19" s="252"/>
      <c r="C19" s="252"/>
      <c r="D19" s="252"/>
      <c r="E19" s="253"/>
      <c r="F19"/>
    </row>
    <row r="20">
      <c r="A20" s="251"/>
      <c r="B20" s="252"/>
      <c r="C20" s="252"/>
      <c r="D20" s="252"/>
      <c r="E20" s="253"/>
      <c r="F20"/>
    </row>
    <row r="21">
      <c r="A21" s="251"/>
      <c r="B21" s="252"/>
      <c r="C21" s="252"/>
      <c r="D21" s="252"/>
      <c r="E21" s="253"/>
      <c r="F21"/>
    </row>
    <row r="22">
      <c r="A22" s="251"/>
      <c r="B22" s="252"/>
      <c r="C22" s="252"/>
      <c r="D22" s="252"/>
      <c r="E22" s="253"/>
      <c r="F22"/>
    </row>
    <row r="23">
      <c r="A23" s="254"/>
      <c r="B23" s="255"/>
      <c r="C23" s="255"/>
      <c r="D23" s="255"/>
      <c r="E23" s="256"/>
      <c r="F23"/>
    </row>
    <row r="24">
      <c r="A24"/>
      <c r="B24"/>
      <c r="C24"/>
      <c r="D24"/>
      <c r="E24"/>
      <c r="F24"/>
    </row>
  </sheetData>
  <mergeCells>
    <mergeCell ref="A1:E1"/>
  </mergeCells>
  <pageMargins left="0.7" right="0.7" top="0.75" bottom="0.75" header="0.3" footer="0.3"/>
</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6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4" hidden="0" customWidth="1"/>
  </x:cols>
  <x:sheetData>
    <x:row r="1" ht="28" customHeight="1">
      <x:c r="A1" s="243" t="str">
        <x:v>02_取替方式｜installation_system</x:v>
      </x:c>
      <x:c r="B1" s="243"/>
      <x:c r="C1" s="243"/>
      <x:c r="D1" s="243"/>
      <x:c r="E1" s="243"/>
      <x:c r="F1" s="243"/>
      <x:c r="G1" s="243"/>
      <x:c r="H1" s="4"/>
    </x:row>
    <x:row r="3" ht="30" customHeight="1">
      <x:c r="A3" s="248" t="str">
        <x:v>installation_system_id</x:v>
      </x:c>
      <x:c r="B3" s="249" t="str">
        <x:v>名称</x:v>
      </x:c>
      <x:c r="C3" s="249" t="str">
        <x:v>データ型</x:v>
      </x:c>
      <x:c r="D3" s="249" t="str">
        <x:v>variation</x:v>
      </x:c>
      <x:c r="E3" s="249" t="str">
        <x:v>今回範囲</x:v>
      </x:c>
      <x:c r="F3" s="249" t="str">
        <x:v>status</x:v>
      </x:c>
      <x:c r="G3" s="250" t="str">
        <x:v>evidence</x:v>
      </x:c>
      <x:c r="H3" s="34"/>
    </x:row>
    <x:row r="4">
      <x:c r="A4" s="251" t="str">
        <x:v>RPL_DIRECT</x:v>
      </x:c>
      <x:c r="B4" s="252" t="str">
        <x:v>リプラス専用取替枠</x:v>
      </x:c>
      <x:c r="C4" s="252" t="str">
        <x:v>完成品/専用枠</x:v>
      </x:c>
      <x:c r="D4" s="252" t="str">
        <x:v>RPL_EW</x:v>
      </x:c>
      <x:c r="E4" s="252" t="str">
        <x:v>今回対象</x:v>
      </x:c>
      <x:c r="F4" s="252" t="str">
        <x:v>COMPLETE</x:v>
      </x:c>
      <x:c r="G4" s="253" t="str">
        <x:v>EW-EV-002</x:v>
      </x:c>
      <x:c r="H4" s="37"/>
    </x:row>
    <x:row r="5">
      <x:c r="A5" s="251" t="str">
        <x:v>RPL_ATT_TW</x:v>
      </x:c>
      <x:c r="B5" s="252" t="str">
        <x:v>アタッチ枠（TW用）</x:v>
      </x:c>
      <x:c r="C5" s="252" t="str">
        <x:v>別installation_system</x:v>
      </x:c>
      <x:c r="D5" s="252" t="str">
        <x:v>—</x:v>
      </x:c>
      <x:c r="E5" s="252" t="str">
        <x:v>対象外</x:v>
      </x:c>
      <x:c r="F5" s="252" t="str">
        <x:v>NOT_APPLICABLE</x:v>
      </x:c>
      <x:c r="G5" s="253" t="str">
        <x:v>EW-EV-002</x:v>
      </x:c>
      <x:c r="H5" s="37"/>
    </x:row>
    <x:row r="6">
      <x:c r="A6" s="254" t="str">
        <x:v>RPL_ATT_TH</x:v>
      </x:c>
      <x:c r="B6" s="255" t="str">
        <x:v>アタッチ枠（サーモス用）</x:v>
      </x:c>
      <x:c r="C6" s="255" t="str">
        <x:v>別installation_system</x:v>
      </x:c>
      <x:c r="D6" s="255" t="str">
        <x:v>—</x:v>
      </x:c>
      <x:c r="E6" s="255" t="str">
        <x:v>対象外</x:v>
      </x:c>
      <x:c r="F6" s="255" t="str">
        <x:v>NOT_APPLICABLE</x:v>
      </x:c>
      <x:c r="G6" s="256" t="str">
        <x:v>EW-EV-002</x:v>
      </x:c>
      <x:c r="H6" s="37"/>
    </x:row>
    <x:row r="7">
      <x:c r="A7" s="38"/>
      <x:c r="B7" s="39"/>
      <x:c r="C7" s="39"/>
      <x:c r="D7" s="39"/>
      <x:c r="E7" s="39"/>
      <x:c r="F7" s="39"/>
      <x:c r="G7" s="39"/>
      <x:c r="H7" s="40"/>
    </x:row>
  </x:sheetData>
  <x:mergeCells>
    <x:mergeCell ref="A1:H1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14" hidden="0" customWidth="1"/>
    <x:col min="5" max="5" width="42" hidden="0" customWidth="1"/>
    <x:col min="6" max="6" width="18" hidden="0" customWidth="1"/>
    <x:col min="7" max="7" width="22" hidden="0" customWidth="1"/>
  </x:cols>
  <x:sheetData>
    <x:row r="1" ht="28" customHeight="1">
      <x:c r="A1" s="243" t="str">
        <x:v>02A_仕様区分｜variation</x:v>
      </x:c>
      <x:c r="B1" s="243"/>
      <x:c r="C1" s="243"/>
      <x:c r="D1" s="243"/>
      <x:c r="E1" s="243"/>
      <x:c r="F1" s="243"/>
      <x:c r="G1" s="243"/>
    </x:row>
    <x:row r="3" ht="30" customHeight="1">
      <x:c r="A3" s="248" t="str">
        <x:v>variation_id</x:v>
      </x:c>
      <x:c r="B3" s="249" t="str">
        <x:v>公式名称</x:v>
      </x:c>
      <x:c r="C3" s="249" t="str">
        <x:v>installation_system_id</x:v>
      </x:c>
      <x:c r="D3" s="249" t="str">
        <x:v>用途</x:v>
      </x:c>
      <x:c r="E3" s="249" t="str">
        <x:v>商品体系</x:v>
      </x:c>
      <x:c r="F3" s="249" t="str">
        <x:v>status</x:v>
      </x:c>
      <x:c r="G3" s="250" t="str">
        <x:v>evidence</x:v>
      </x:c>
    </x:row>
    <x:row r="4">
      <x:c r="A4" s="254" t="str">
        <x:v>RPL_EW</x:v>
      </x:c>
      <x:c r="B4" s="255" t="str">
        <x:v>居室仕様 EWタイプ</x:v>
      </x:c>
      <x:c r="C4" s="255" t="str">
        <x:v>RPL_DIRECT</x:v>
      </x:c>
      <x:c r="D4" s="255" t="str">
        <x:v>居室</x:v>
      </x:c>
      <x:c r="E4" s="255" t="str">
        <x:v>引違い窓・2枚建</x:v>
      </x:c>
      <x:c r="F4" s="255" t="str">
        <x:v>COMPLETE</x:v>
      </x:c>
      <x:c r="G4" s="256" t="str">
        <x:v>EW-EV-002,003,004</x:v>
      </x:c>
    </x:row>
    <x:row r="5">
      <x:c r="A5" s="35"/>
      <x:c r="B5" s="36"/>
      <x:c r="C5" s="36"/>
      <x:c r="D5" s="36"/>
      <x:c r="E5" s="36"/>
      <x:c r="F5" s="36"/>
      <x:c r="G5" s="37"/>
    </x:row>
    <x:row r="6">
      <x:c r="A6" s="35"/>
      <x:c r="B6" s="36"/>
      <x:c r="C6" s="36"/>
      <x:c r="D6" s="36"/>
      <x:c r="E6" s="36"/>
      <x:c r="F6" s="36"/>
      <x:c r="G6" s="37"/>
    </x:row>
    <x:row r="7">
      <x:c r="A7" s="38"/>
      <x:c r="B7" s="39"/>
      <x:c r="C7" s="39"/>
      <x:c r="D7" s="39"/>
      <x:c r="E7" s="39"/>
      <x:c r="F7" s="39"/>
      <x:c r="G7" s="40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16" hidden="0" customWidth="1"/>
    <x:col min="5" max="5" width="56" hidden="0" customWidth="1"/>
    <x:col min="6" max="6" width="18" hidden="0" customWidth="1"/>
    <x:col min="7" max="7" width="22" hidden="0" customWidth="1"/>
  </x:cols>
  <x:sheetData>
    <x:row r="1" ht="28" customHeight="1">
      <x:c r="A1" s="243" t="str">
        <x:v>03_窓種｜EWタイプ</x:v>
      </x:c>
      <x:c r="B1" s="243"/>
      <x:c r="C1" s="243"/>
      <x:c r="D1" s="243"/>
      <x:c r="E1" s="243"/>
      <x:c r="F1" s="243"/>
      <x:c r="G1" s="243"/>
    </x:row>
    <x:row r="2" ht="38" customHeight="1">
      <x:c r="A2" s="244" t="str">
        <x:v>2026業務用資料集・商品カタログ・現行Webを横断確認。EWタイプは引違い窓のみ、4枚建設定なし。</x:v>
      </x:c>
      <x:c r="B2" s="244"/>
      <x:c r="C2" s="244"/>
      <x:c r="D2" s="244"/>
      <x:c r="E2" s="244"/>
      <x:c r="F2" s="244"/>
      <x:c r="G2" s="244"/>
    </x:row>
    <x:row r="4" ht="30" customHeight="1">
      <x:c r="A4" s="248" t="str">
        <x:v>window_type_id</x:v>
      </x:c>
      <x:c r="B4" s="249" t="str">
        <x:v>公式名称</x:v>
      </x:c>
      <x:c r="C4" s="249" t="str">
        <x:v>分類</x:v>
      </x:c>
      <x:c r="D4" s="249" t="str">
        <x:v>操作方式</x:v>
      </x:c>
      <x:c r="E4" s="249" t="str">
        <x:v>固有仕様</x:v>
      </x:c>
      <x:c r="F4" s="249" t="str">
        <x:v>status</x:v>
      </x:c>
      <x:c r="G4" s="250" t="str">
        <x:v>evidence</x:v>
      </x:c>
    </x:row>
    <x:row r="5">
      <x:c r="A5" s="254" t="str">
        <x:v>RPL_EW_SLD</x:v>
      </x:c>
      <x:c r="B5" s="255" t="str">
        <x:v>引違い窓</x:v>
      </x:c>
      <x:c r="C5" s="255" t="str">
        <x:v>引違い</x:v>
      </x:c>
      <x:c r="D5" s="255" t="str">
        <x:v>—</x:v>
      </x:c>
      <x:c r="E5" s="255" t="str">
        <x:v>2枚建のみ、マド/テラス</x:v>
      </x:c>
      <x:c r="F5" s="255" t="str">
        <x:v>COMPLETE</x:v>
      </x:c>
      <x:c r="G5" s="256" t="str">
        <x:v>EW-EV-002,003,004</x:v>
      </x:c>
    </x:row>
    <x:row r="6">
      <x:c r="A6" s="35"/>
      <x:c r="B6" s="36"/>
      <x:c r="C6" s="36"/>
      <x:c r="D6" s="36"/>
      <x:c r="E6" s="36"/>
      <x:c r="F6" s="36"/>
      <x:c r="G6" s="37"/>
    </x:row>
    <x:row r="7">
      <x:c r="A7" s="35"/>
      <x:c r="B7" s="36"/>
      <x:c r="C7" s="36"/>
      <x:c r="D7" s="36"/>
      <x:c r="E7" s="36"/>
      <x:c r="F7" s="36"/>
      <x:c r="G7" s="37"/>
    </x:row>
    <x:row r="8">
      <x:c r="A8" s="35"/>
      <x:c r="B8" s="36"/>
      <x:c r="C8" s="36"/>
      <x:c r="D8" s="36"/>
      <x:c r="E8" s="36"/>
      <x:c r="F8" s="36"/>
      <x:c r="G8" s="37"/>
    </x:row>
    <x:row r="9">
      <x:c r="A9" s="35"/>
      <x:c r="B9" s="36"/>
      <x:c r="C9" s="36"/>
      <x:c r="D9" s="36"/>
      <x:c r="E9" s="36"/>
      <x:c r="F9" s="36"/>
      <x:c r="G9" s="37"/>
    </x:row>
    <x:row r="10">
      <x:c r="A10" s="35"/>
      <x:c r="B10" s="36"/>
      <x:c r="C10" s="36"/>
      <x:c r="D10" s="36"/>
      <x:c r="E10" s="36"/>
      <x:c r="F10" s="36"/>
      <x:c r="G10" s="37"/>
    </x:row>
    <x:row r="11">
      <x:c r="A11" s="35"/>
      <x:c r="B11" s="36"/>
      <x:c r="C11" s="36"/>
      <x:c r="D11" s="36"/>
      <x:c r="E11" s="36"/>
      <x:c r="F11" s="36"/>
      <x:c r="G11" s="37"/>
    </x:row>
    <x:row r="12">
      <x:c r="A12" s="38"/>
      <x:c r="B12" s="39"/>
      <x:c r="C12" s="39"/>
      <x:c r="D12" s="39"/>
      <x:c r="E12" s="39"/>
      <x:c r="F12" s="39"/>
      <x:c r="G12" s="40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76" hidden="0" customWidth="1"/>
    <x:col min="5" max="5" width="16" hidden="0" customWidth="1"/>
    <x:col min="6" max="6" width="18" hidden="0" customWidth="1"/>
    <x:col min="7" max="7" width="20" hidden="0" customWidth="1"/>
  </x:cols>
  <x:sheetData>
    <x:row r="1" ht="28" customHeight="1">
      <x:c r="A1" s="243" t="str">
        <x:v>03A_枠仕様｜EWタイプ固定枠</x:v>
      </x:c>
      <x:c r="B1" s="243"/>
      <x:c r="C1" s="243"/>
      <x:c r="D1" s="243"/>
      <x:c r="E1" s="243"/>
      <x:c r="F1" s="243"/>
      <x:c r="G1" s="243"/>
    </x:row>
    <x:row r="3" ht="30" customHeight="1">
      <x:c r="A3" s="248" t="str">
        <x:v>frame_type_id</x:v>
      </x:c>
      <x:c r="B3" s="249" t="str">
        <x:v>official_label</x:v>
      </x:c>
      <x:c r="C3" s="249" t="str">
        <x:v>ui_mode</x:v>
      </x:c>
      <x:c r="D3" s="249" t="str">
        <x:v>説明</x:v>
      </x:c>
      <x:c r="E3" s="249" t="str">
        <x:v>user_selectable</x:v>
      </x:c>
      <x:c r="F3" s="249" t="str">
        <x:v>status</x:v>
      </x:c>
      <x:c r="G3" s="250" t="str">
        <x:v>evidence</x:v>
      </x:c>
    </x:row>
    <x:row r="4">
      <x:c r="A4" s="254" t="str">
        <x:v>RPL_EW_FRAME</x:v>
      </x:c>
      <x:c r="B4" s="255" t="str">
        <x:v>枠</x:v>
      </x:c>
      <x:c r="C4" s="255" t="str">
        <x:v>FIXED</x:v>
      </x:c>
      <x:c r="D4" s="255" t="str">
        <x:v>EWタイプ固定。標準枠/ブリッジ枠をユーザー選択させない</x:v>
      </x:c>
      <x:c r="E4" s="261" t="b">
        <x:v>0</x:v>
      </x:c>
      <x:c r="F4" s="255" t="str">
        <x:v>COMPLETE</x:v>
      </x:c>
      <x:c r="G4" s="256" t="str">
        <x:v>EW-EV-002,005</x:v>
      </x:c>
    </x:row>
    <x:row r="5">
      <x:c r="A5" s="38"/>
      <x:c r="B5" s="39"/>
      <x:c r="C5" s="39"/>
      <x:c r="D5" s="39"/>
      <x:c r="E5" s="39"/>
      <x:c r="F5" s="40"/>
    </x:row>
  </x:sheetData>
  <x:mergeCells>
    <x:mergeCell ref="A1:F1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6" hidden="0" customWidth="1"/>
    <x:col min="6" max="6" width="18" hidden="0" customWidth="1"/>
    <x:col min="7" max="7" width="20" hidden="0" customWidth="1"/>
  </x:cols>
  <x:sheetData>
    <x:row r="1" ht="28" customHeight="1">
      <x:c r="A1" s="243" t="str">
        <x:v>03B_窓種枠設定｜variation × window × frame</x:v>
      </x:c>
      <x:c r="B1" s="243"/>
      <x:c r="C1" s="243"/>
      <x:c r="D1" s="243"/>
      <x:c r="E1" s="243"/>
      <x:c r="F1" s="243"/>
      <x:c r="G1" s="243"/>
    </x:row>
    <x:row r="2" ht="34" customHeight="1">
      <x:c r="A2" s="11"/>
      <x:c r="B2" s="11"/>
      <x:c r="C2" s="11"/>
      <x:c r="D2" s="11"/>
      <x:c r="E2" s="11"/>
      <x:c r="F2" s="11"/>
    </x:row>
    <x:row r="3">
      <x:c r="A3" s="248" t="str">
        <x:v>variation_id</x:v>
      </x:c>
      <x:c r="B3" s="249" t="str">
        <x:v>window_type_id</x:v>
      </x:c>
      <x:c r="C3" s="249" t="str">
        <x:v>frame_type_id</x:v>
      </x:c>
      <x:c r="D3" s="249" t="str">
        <x:v>selectable</x:v>
      </x:c>
      <x:c r="E3" s="249" t="str">
        <x:v>ui_mode</x:v>
      </x:c>
      <x:c r="F3" s="249" t="str">
        <x:v>status</x:v>
      </x:c>
      <x:c r="G3" s="250" t="str">
        <x:v>evidence</x:v>
      </x:c>
    </x:row>
    <x:row r="4" ht="30" customHeight="1">
      <x:c r="A4" s="263" t="str">
        <x:v>RPL_EW</x:v>
      </x:c>
      <x:c r="B4" s="264" t="str">
        <x:v>RPL_EW_SLD</x:v>
      </x:c>
      <x:c r="C4" s="264" t="str">
        <x:v>RPL_EW_FRAME</x:v>
      </x:c>
      <x:c r="D4" s="265" t="b">
        <x:v>1</x:v>
      </x:c>
      <x:c r="E4" s="264" t="str">
        <x:v>FIXED</x:v>
      </x:c>
      <x:c r="F4" s="264" t="str">
        <x:v>COMPLETE</x:v>
      </x:c>
      <x:c r="G4" s="256" t="str">
        <x:v>EW-EV-002,005</x:v>
      </x:c>
    </x:row>
    <x:row r="5">
      <x:c r="A5" s="35"/>
      <x:c r="B5" s="36"/>
      <x:c r="C5" s="36"/>
      <x:c r="D5" s="36"/>
      <x:c r="E5" s="36"/>
      <x:c r="F5" s="37"/>
    </x:row>
    <x:row r="6">
      <x:c r="A6" s="35"/>
      <x:c r="B6" s="36"/>
      <x:c r="C6" s="36"/>
      <x:c r="D6" s="36"/>
      <x:c r="E6" s="36"/>
      <x:c r="F6" s="37"/>
    </x:row>
    <x:row r="7">
      <x:c r="A7" s="35"/>
      <x:c r="B7" s="36"/>
      <x:c r="C7" s="36"/>
      <x:c r="D7" s="36"/>
      <x:c r="E7" s="36"/>
      <x:c r="F7" s="37"/>
    </x:row>
    <x:row r="8">
      <x:c r="A8" s="35"/>
      <x:c r="B8" s="36"/>
      <x:c r="C8" s="36"/>
      <x:c r="D8" s="36"/>
      <x:c r="E8" s="36"/>
      <x:c r="F8" s="37"/>
    </x:row>
    <x:row r="9">
      <x:c r="A9" s="35"/>
      <x:c r="B9" s="36"/>
      <x:c r="C9" s="36"/>
      <x:c r="D9" s="36"/>
      <x:c r="E9" s="36"/>
      <x:c r="F9" s="37"/>
    </x:row>
    <x:row r="10">
      <x:c r="A10" s="35"/>
      <x:c r="B10" s="36"/>
      <x:c r="C10" s="36"/>
      <x:c r="D10" s="36"/>
      <x:c r="E10" s="36"/>
      <x:c r="F10" s="37"/>
    </x:row>
    <x:row r="11">
      <x:c r="A11" s="35"/>
      <x:c r="B11" s="36"/>
      <x:c r="C11" s="36"/>
      <x:c r="D11" s="36"/>
      <x:c r="E11" s="36"/>
      <x:c r="F11" s="37"/>
    </x:row>
    <x:row r="12">
      <x:c r="A12" s="35"/>
      <x:c r="B12" s="36"/>
      <x:c r="C12" s="36"/>
      <x:c r="D12" s="36"/>
      <x:c r="E12" s="36"/>
      <x:c r="F12" s="37"/>
    </x:row>
    <x:row r="13">
      <x:c r="A13" s="38"/>
      <x:c r="B13" s="39"/>
      <x:c r="C13" s="39"/>
      <x:c r="D13" s="39"/>
      <x:c r="E13" s="39"/>
      <x:c r="F13" s="40"/>
    </x:row>
  </x:sheetData>
  <x:mergeCells>
    <x:mergeCell ref="A1:F1"/>
    <x:mergeCell ref="A2:F2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30" hidden="0" customWidth="1"/>
    <x:col min="5" max="5" width="18" hidden="0" customWidth="1"/>
    <x:col min="6" max="6" width="60" hidden="0" customWidth="1"/>
    <x:col min="7" max="7" width="18" hidden="0" customWidth="1"/>
    <x:col min="8" max="8" width="22" hidden="0" customWidth="1"/>
  </x:cols>
  <x:sheetData>
    <x:row r="1" ht="28" customHeight="1">
      <x:c r="A1" s="243" t="str">
        <x:v>04_窓種固有仕様｜EWタイプ</x:v>
      </x:c>
      <x:c r="B1" s="243"/>
      <x:c r="C1" s="243"/>
      <x:c r="D1" s="243"/>
      <x:c r="E1" s="243"/>
      <x:c r="F1" s="243"/>
      <x:c r="G1" s="243"/>
      <x:c r="H1" s="243"/>
    </x:row>
    <x:row r="3" ht="30" customHeight="1">
      <x:c r="A3" s="248" t="str">
        <x:v>solid_spec_id</x:v>
      </x:c>
      <x:c r="B3" s="249" t="str">
        <x:v>window_type_id</x:v>
      </x:c>
      <x:c r="C3" s="249" t="str">
        <x:v>spec_type</x:v>
      </x:c>
      <x:c r="D3" s="249" t="str">
        <x:v>公式値</x:v>
      </x:c>
      <x:c r="E3" s="249" t="str">
        <x:v>selection_mode</x:v>
      </x:c>
      <x:c r="F3" s="249" t="str">
        <x:v>適用条件</x:v>
      </x:c>
      <x:c r="G3" s="249" t="str">
        <x:v>status</x:v>
      </x:c>
      <x:c r="H3" s="250" t="str">
        <x:v>evidence</x:v>
      </x:c>
    </x:row>
    <x:row r="4">
      <x:c r="A4" s="251" t="str">
        <x:v>EW-SS-PANEL-2</x:v>
      </x:c>
      <x:c r="B4" s="252" t="str">
        <x:v>RPL_EW_SLD</x:v>
      </x:c>
      <x:c r="C4" s="252" t="str">
        <x:v>panel_configuration</x:v>
      </x:c>
      <x:c r="D4" s="252" t="str">
        <x:v>2枚建</x:v>
      </x:c>
      <x:c r="E4" s="252" t="str">
        <x:v>FIXED</x:v>
      </x:c>
      <x:c r="F4" s="252" t="str">
        <x:v>全商品</x:v>
      </x:c>
      <x:c r="G4" s="252" t="str">
        <x:v>COMPLETE</x:v>
      </x:c>
      <x:c r="H4" s="253" t="str">
        <x:v>EW-EV-005,006</x:v>
      </x:c>
    </x:row>
    <x:row r="5">
      <x:c r="A5" s="251" t="str">
        <x:v>EW-SS-MAD</x:v>
      </x:c>
      <x:c r="B5" s="252" t="str">
        <x:v>RPL_EW_SLD</x:v>
      </x:c>
      <x:c r="C5" s="252" t="str">
        <x:v>height_category</x:v>
      </x:c>
      <x:c r="D5" s="252" t="str">
        <x:v>マド</x:v>
      </x:c>
      <x:c r="E5" s="252" t="str">
        <x:v>EXCLUSIVE</x:v>
      </x:c>
      <x:c r="F5" s="252" t="str">
        <x:v>PG/TG/各セレクト</x:v>
      </x:c>
      <x:c r="G5" s="252" t="str">
        <x:v>COMPLETE</x:v>
      </x:c>
      <x:c r="H5" s="253" t="str">
        <x:v>EW-EV-005,006</x:v>
      </x:c>
    </x:row>
    <x:row r="6">
      <x:c r="A6" s="251" t="str">
        <x:v>EW-SS-TER</x:v>
      </x:c>
      <x:c r="B6" s="252" t="str">
        <x:v>RPL_EW_SLD</x:v>
      </x:c>
      <x:c r="C6" s="252" t="str">
        <x:v>height_category</x:v>
      </x:c>
      <x:c r="D6" s="252" t="str">
        <x:v>テラス</x:v>
      </x:c>
      <x:c r="E6" s="252" t="str">
        <x:v>EXCLUSIVE</x:v>
      </x:c>
      <x:c r="F6" s="252" t="str">
        <x:v>PG/TG/各セレクト</x:v>
      </x:c>
      <x:c r="G6" s="252" t="str">
        <x:v>COMPLETE</x:v>
      </x:c>
      <x:c r="H6" s="253" t="str">
        <x:v>EW-EV-005,006</x:v>
      </x:c>
    </x:row>
    <x:row r="7">
      <x:c r="A7" s="251" t="str">
        <x:v>EW-SS-PG</x:v>
      </x:c>
      <x:c r="B7" s="252" t="str">
        <x:v>RPL_EW_SLD</x:v>
      </x:c>
      <x:c r="C7" s="252" t="str">
        <x:v>sash_configuration</x:v>
      </x:c>
      <x:c r="D7" s="252" t="str">
        <x:v>PG障子</x:v>
      </x:c>
      <x:c r="E7" s="252" t="str">
        <x:v>EXCLUSIVE</x:v>
      </x:c>
      <x:c r="F7" s="252" t="str">
        <x:v>LOW_E_DOUBLE</x:v>
      </x:c>
      <x:c r="G7" s="252" t="str">
        <x:v>COMPLETE</x:v>
      </x:c>
      <x:c r="H7" s="253" t="str">
        <x:v>EW-EV-005,006</x:v>
      </x:c>
    </x:row>
    <x:row r="8">
      <x:c r="A8" s="251" t="str">
        <x:v>EW-SS-TG</x:v>
      </x:c>
      <x:c r="B8" s="252" t="str">
        <x:v>RPL_EW_SLD</x:v>
      </x:c>
      <x:c r="C8" s="252" t="str">
        <x:v>sash_configuration</x:v>
      </x:c>
      <x:c r="D8" s="252" t="str">
        <x:v>TG障子</x:v>
      </x:c>
      <x:c r="E8" s="252" t="str">
        <x:v>EXCLUSIVE</x:v>
      </x:c>
      <x:c r="F8" s="252" t="str">
        <x:v>TRIPLE</x:v>
      </x:c>
      <x:c r="G8" s="252" t="str">
        <x:v>COMPLETE</x:v>
      </x:c>
      <x:c r="H8" s="253" t="str">
        <x:v>EW-EV-005,006</x:v>
      </x:c>
    </x:row>
    <x:row r="9">
      <x:c r="A9" s="251" t="str">
        <x:v>EW-SS-PGSEL</x:v>
      </x:c>
      <x:c r="B9" s="252" t="str">
        <x:v>RPL_EW_SLD</x:v>
      </x:c>
      <x:c r="C9" s="252" t="str">
        <x:v>sash_configuration</x:v>
      </x:c>
      <x:c r="D9" s="252" t="str">
        <x:v>PGセレクト障子</x:v>
      </x:c>
      <x:c r="E9" s="252" t="str">
        <x:v>EXCLUSIVE</x:v>
      </x:c>
      <x:c r="F9" s="252" t="str">
        <x:v>LOW_E_DOUBLE＋大型把手</x:v>
      </x:c>
      <x:c r="G9" s="252" t="str">
        <x:v>COMPLETE</x:v>
      </x:c>
      <x:c r="H9" s="253" t="str">
        <x:v>EW-EV-005,006,010</x:v>
      </x:c>
    </x:row>
    <x:row r="10">
      <x:c r="A10" s="251" t="str">
        <x:v>EW-SS-TGSEL</x:v>
      </x:c>
      <x:c r="B10" s="252" t="str">
        <x:v>RPL_EW_SLD</x:v>
      </x:c>
      <x:c r="C10" s="252" t="str">
        <x:v>sash_configuration</x:v>
      </x:c>
      <x:c r="D10" s="252" t="str">
        <x:v>TGセレクト障子</x:v>
      </x:c>
      <x:c r="E10" s="252" t="str">
        <x:v>EXCLUSIVE</x:v>
      </x:c>
      <x:c r="F10" s="252" t="str">
        <x:v>TRIPLE＋アシスト把手</x:v>
      </x:c>
      <x:c r="G10" s="252" t="str">
        <x:v>COMPLETE</x:v>
      </x:c>
      <x:c r="H10" s="253" t="str">
        <x:v>EW-EV-005,006,010</x:v>
      </x:c>
    </x:row>
    <x:row r="11">
      <x:c r="A11" s="251" t="str">
        <x:v>EW-SS-CRESCENT-STD</x:v>
      </x:c>
      <x:c r="B11" s="252" t="str">
        <x:v>RPL_EW_SLD</x:v>
      </x:c>
      <x:c r="C11" s="252" t="str">
        <x:v>crescent_position</x:v>
      </x:c>
      <x:c r="D11" s="252" t="str">
        <x:v>標準</x:v>
      </x:c>
      <x:c r="E11" s="252" t="str">
        <x:v>EXCLUSIVE</x:v>
      </x:c>
      <x:c r="F11" s="252" t="str">
        <x:v>全障子</x:v>
      </x:c>
      <x:c r="G11" s="252" t="str">
        <x:v>COMPLETE</x:v>
      </x:c>
      <x:c r="H11" s="253" t="str">
        <x:v>EW-EV-011</x:v>
      </x:c>
    </x:row>
    <x:row r="12">
      <x:c r="A12" s="254" t="str">
        <x:v>EW-SS-CRESCENT-CUSTOM</x:v>
      </x:c>
      <x:c r="B12" s="255" t="str">
        <x:v>RPL_EW_SLD</x:v>
      </x:c>
      <x:c r="C12" s="255" t="str">
        <x:v>crescent_position</x:v>
      </x:c>
      <x:c r="D12" s="255" t="str">
        <x:v>位置指定</x:v>
      </x:c>
      <x:c r="E12" s="255" t="str">
        <x:v>EXCLUSIVE</x:v>
      </x:c>
      <x:c r="F12" s="255" t="str">
        <x:v>発注シートで指定</x:v>
      </x:c>
      <x:c r="G12" s="255" t="str">
        <x:v>COMPLETE</x:v>
      </x:c>
      <x:c r="H12" s="256" t="str">
        <x:v>EW-EV-011</x:v>
      </x:c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0" hidden="0" customWidth="1"/>
    <x:col min="4" max="4" width="16" hidden="0" customWidth="1"/>
    <x:col min="5" max="5" width="16" hidden="0" customWidth="1"/>
    <x:col min="6" max="6" width="3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0" hidden="0" customWidth="1"/>
    <x:col min="16" max="16" width="24" hidden="0" customWidth="1"/>
    <x:col min="17" max="17" width="18" hidden="0" customWidth="1"/>
    <x:col min="18" max="18" width="20" hidden="0" customWidth="1"/>
  </x:cols>
  <x:sheetData>
    <x:row r="1" ht="28" customHeight="1">
      <x:c r="A1" s="243" t="str">
        <x:v>05_サイズルール｜EWタイプ 出来寸基準</x:v>
      </x:c>
      <x:c r="B1" s="243"/>
      <x:c r="C1" s="243"/>
      <x:c r="D1" s="243"/>
      <x:c r="E1" s="243"/>
      <x:c r="F1" s="243"/>
      <x:c r="G1" s="243"/>
      <x:c r="H1" s="243"/>
      <x:c r="I1" s="243"/>
      <x:c r="J1" s="243"/>
      <x:c r="K1" s="243"/>
      <x:c r="L1" s="243"/>
      <x:c r="M1" s="243"/>
      <x:c r="N1" s="243"/>
      <x:c r="O1" s="243"/>
      <x:c r="P1" s="243"/>
      <x:c r="Q1" s="243"/>
      <x:c r="R1" s="243"/>
    </x:row>
    <x:row r="2" ht="38" customHeight="1">
      <x:c r="A2" s="244" t="str">
        <x:v>出来寸WD/HDを正式判定基準とし、採寸寸法は+10で併記。PG/TG/セレクトは同一基本寸法域だが、ガラス完成品範囲・内嵌め網掛けは別境界で管理。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</x:row>
    <x:row r="4" ht="30" customHeight="1">
      <x:c r="A4" s="248" t="str">
        <x:v>size_rule_id</x:v>
      </x:c>
      <x:c r="B4" s="249" t="str">
        <x:v>window_type_id</x:v>
      </x:c>
      <x:c r="C4" s="249" t="str">
        <x:v>frame_type_id</x:v>
      </x:c>
      <x:c r="D4" s="249" t="str">
        <x:v>panel_configuration</x:v>
      </x:c>
      <x:c r="E4" s="249" t="str">
        <x:v>height_category</x:v>
      </x:c>
      <x:c r="F4" s="249" t="str">
        <x:v>sash_configuration</x:v>
      </x:c>
      <x:c r="G4" s="249" t="str">
        <x:v>finished_w_min</x:v>
      </x:c>
      <x:c r="H4" s="249" t="str">
        <x:v>finished_w_max</x:v>
      </x:c>
      <x:c r="I4" s="249" t="str">
        <x:v>finished_h_min</x:v>
      </x:c>
      <x:c r="J4" s="249" t="str">
        <x:v>finished_h_max</x:v>
      </x:c>
      <x:c r="K4" s="249" t="str">
        <x:v>survey_w_min</x:v>
      </x:c>
      <x:c r="L4" s="249" t="str">
        <x:v>survey_w_max</x:v>
      </x:c>
      <x:c r="M4" s="249" t="str">
        <x:v>survey_h_min</x:v>
      </x:c>
      <x:c r="N4" s="249" t="str">
        <x:v>survey_h_max</x:v>
      </x:c>
      <x:c r="O4" s="249" t="str">
        <x:v>boundary_rule_id</x:v>
      </x:c>
      <x:c r="P4" s="249" t="str">
        <x:v>auto_mode</x:v>
      </x:c>
      <x:c r="Q4" s="249" t="str">
        <x:v>status</x:v>
      </x:c>
      <x:c r="R4" s="250" t="str">
        <x:v>evidence</x:v>
      </x:c>
    </x:row>
    <x:row r="5">
      <x:c r="A5" s="251" t="str">
        <x:v>EW-SZ-MAD-PG</x:v>
      </x:c>
      <x:c r="B5" s="252" t="str">
        <x:v>RPL_EW_SLD</x:v>
      </x:c>
      <x:c r="C5" s="252" t="str">
        <x:v>RPL_EW_FRAME</x:v>
      </x:c>
      <x:c r="D5" s="252" t="str">
        <x:v>2枚建</x:v>
      </x:c>
      <x:c r="E5" s="252" t="str">
        <x:v>マド</x:v>
      </x:c>
      <x:c r="F5" s="252" t="str">
        <x:v>PG障子</x:v>
      </x:c>
      <x:c r="G5" s="268" t="n">
        <x:v>666</x:v>
      </x:c>
      <x:c r="H5" s="268" t="n">
        <x:v>2636</x:v>
      </x:c>
      <x:c r="I5" s="268" t="n">
        <x:v>526</x:v>
      </x:c>
      <x:c r="J5" s="268" t="n">
        <x:v>1596</x:v>
      </x:c>
      <x:c r="K5" s="268" t="n">
        <x:v>676</x:v>
      </x:c>
      <x:c r="L5" s="268" t="n">
        <x:v>2646</x:v>
      </x:c>
      <x:c r="M5" s="268" t="n">
        <x:v>536</x:v>
      </x:c>
      <x:c r="N5" s="268" t="n">
        <x:v>1606</x:v>
      </x:c>
      <x:c r="O5" s="252" t="str">
        <x:v>EW-BR-MAD</x:v>
      </x:c>
      <x:c r="P5" s="252" t="str">
        <x:v>AUTO_WITH_BOUNDARY</x:v>
      </x:c>
      <x:c r="Q5" s="252" t="str">
        <x:v>COMPLETE</x:v>
      </x:c>
      <x:c r="R5" s="253" t="str">
        <x:v>EW-EV-007</x:v>
      </x:c>
    </x:row>
    <x:row r="6">
      <x:c r="A6" s="251" t="str">
        <x:v>EW-SZ-TER-PG</x:v>
      </x:c>
      <x:c r="B6" s="252" t="str">
        <x:v>RPL_EW_SLD</x:v>
      </x:c>
      <x:c r="C6" s="252" t="str">
        <x:v>RPL_EW_FRAME</x:v>
      </x:c>
      <x:c r="D6" s="252" t="str">
        <x:v>2枚建</x:v>
      </x:c>
      <x:c r="E6" s="252" t="str">
        <x:v>テラス</x:v>
      </x:c>
      <x:c r="F6" s="252" t="str">
        <x:v>PG障子</x:v>
      </x:c>
      <x:c r="G6" s="268" t="n">
        <x:v>909</x:v>
      </x:c>
      <x:c r="H6" s="268" t="n">
        <x:v>2636</x:v>
      </x:c>
      <x:c r="I6" s="268" t="n">
        <x:v>1597</x:v>
      </x:c>
      <x:c r="J6" s="268" t="n">
        <x:v>2296</x:v>
      </x:c>
      <x:c r="K6" s="268" t="n">
        <x:v>919</x:v>
      </x:c>
      <x:c r="L6" s="268" t="n">
        <x:v>2646</x:v>
      </x:c>
      <x:c r="M6" s="268" t="n">
        <x:v>1607</x:v>
      </x:c>
      <x:c r="N6" s="268" t="n">
        <x:v>2306</x:v>
      </x:c>
      <x:c r="O6" s="252" t="str">
        <x:v>EW-BR-TER</x:v>
      </x:c>
      <x:c r="P6" s="252" t="str">
        <x:v>AUTO_WITH_BOUNDARY</x:v>
      </x:c>
      <x:c r="Q6" s="252" t="str">
        <x:v>COMPLETE</x:v>
      </x:c>
      <x:c r="R6" s="253" t="str">
        <x:v>EW-EV-007</x:v>
      </x:c>
    </x:row>
    <x:row r="7">
      <x:c r="A7" s="251" t="str">
        <x:v>EW-SZ-MAD-TG</x:v>
      </x:c>
      <x:c r="B7" s="252" t="str">
        <x:v>RPL_EW_SLD</x:v>
      </x:c>
      <x:c r="C7" s="252" t="str">
        <x:v>RPL_EW_FRAME</x:v>
      </x:c>
      <x:c r="D7" s="252" t="str">
        <x:v>2枚建</x:v>
      </x:c>
      <x:c r="E7" s="252" t="str">
        <x:v>マド</x:v>
      </x:c>
      <x:c r="F7" s="252" t="str">
        <x:v>TG障子</x:v>
      </x:c>
      <x:c r="G7" s="268" t="n">
        <x:v>666</x:v>
      </x:c>
      <x:c r="H7" s="268" t="n">
        <x:v>2636</x:v>
      </x:c>
      <x:c r="I7" s="268" t="n">
        <x:v>526</x:v>
      </x:c>
      <x:c r="J7" s="268" t="n">
        <x:v>1596</x:v>
      </x:c>
      <x:c r="K7" s="268" t="n">
        <x:v>676</x:v>
      </x:c>
      <x:c r="L7" s="268" t="n">
        <x:v>2646</x:v>
      </x:c>
      <x:c r="M7" s="268" t="n">
        <x:v>536</x:v>
      </x:c>
      <x:c r="N7" s="268" t="n">
        <x:v>1606</x:v>
      </x:c>
      <x:c r="O7" s="252" t="str">
        <x:v>EW-BR-MAD</x:v>
      </x:c>
      <x:c r="P7" s="252" t="str">
        <x:v>AUTO_WITH_BOUNDARY</x:v>
      </x:c>
      <x:c r="Q7" s="252" t="str">
        <x:v>COMPLETE</x:v>
      </x:c>
      <x:c r="R7" s="253" t="str">
        <x:v>EW-EV-007</x:v>
      </x:c>
    </x:row>
    <x:row r="8">
      <x:c r="A8" s="251" t="str">
        <x:v>EW-SZ-TER-TG</x:v>
      </x:c>
      <x:c r="B8" s="252" t="str">
        <x:v>RPL_EW_SLD</x:v>
      </x:c>
      <x:c r="C8" s="252" t="str">
        <x:v>RPL_EW_FRAME</x:v>
      </x:c>
      <x:c r="D8" s="252" t="str">
        <x:v>2枚建</x:v>
      </x:c>
      <x:c r="E8" s="252" t="str">
        <x:v>テラス</x:v>
      </x:c>
      <x:c r="F8" s="252" t="str">
        <x:v>TG障子</x:v>
      </x:c>
      <x:c r="G8" s="268" t="n">
        <x:v>909</x:v>
      </x:c>
      <x:c r="H8" s="268" t="n">
        <x:v>2636</x:v>
      </x:c>
      <x:c r="I8" s="268" t="n">
        <x:v>1597</x:v>
      </x:c>
      <x:c r="J8" s="268" t="n">
        <x:v>2296</x:v>
      </x:c>
      <x:c r="K8" s="268" t="n">
        <x:v>919</x:v>
      </x:c>
      <x:c r="L8" s="268" t="n">
        <x:v>2646</x:v>
      </x:c>
      <x:c r="M8" s="268" t="n">
        <x:v>1607</x:v>
      </x:c>
      <x:c r="N8" s="268" t="n">
        <x:v>2306</x:v>
      </x:c>
      <x:c r="O8" s="252" t="str">
        <x:v>EW-BR-TER</x:v>
      </x:c>
      <x:c r="P8" s="252" t="str">
        <x:v>AUTO_WITH_BOUNDARY</x:v>
      </x:c>
      <x:c r="Q8" s="252" t="str">
        <x:v>COMPLETE</x:v>
      </x:c>
      <x:c r="R8" s="253" t="str">
        <x:v>EW-EV-007</x:v>
      </x:c>
    </x:row>
    <x:row r="9">
      <x:c r="A9" s="251" t="str">
        <x:v>EW-SZ-MAD-PGS</x:v>
      </x:c>
      <x:c r="B9" s="252" t="str">
        <x:v>RPL_EW_SLD</x:v>
      </x:c>
      <x:c r="C9" s="252" t="str">
        <x:v>RPL_EW_FRAME</x:v>
      </x:c>
      <x:c r="D9" s="252" t="str">
        <x:v>2枚建</x:v>
      </x:c>
      <x:c r="E9" s="252" t="str">
        <x:v>マド</x:v>
      </x:c>
      <x:c r="F9" s="252" t="str">
        <x:v>PGセレクト障子</x:v>
      </x:c>
      <x:c r="G9" s="268" t="n">
        <x:v>666</x:v>
      </x:c>
      <x:c r="H9" s="268" t="n">
        <x:v>2636</x:v>
      </x:c>
      <x:c r="I9" s="268" t="n">
        <x:v>526</x:v>
      </x:c>
      <x:c r="J9" s="268" t="n">
        <x:v>1596</x:v>
      </x:c>
      <x:c r="K9" s="268" t="n">
        <x:v>676</x:v>
      </x:c>
      <x:c r="L9" s="268" t="n">
        <x:v>2646</x:v>
      </x:c>
      <x:c r="M9" s="268" t="n">
        <x:v>536</x:v>
      </x:c>
      <x:c r="N9" s="268" t="n">
        <x:v>1606</x:v>
      </x:c>
      <x:c r="O9" s="252" t="str">
        <x:v>EW-BR-MAD</x:v>
      </x:c>
      <x:c r="P9" s="252" t="str">
        <x:v>AUTO_WITH_BOUNDARY</x:v>
      </x:c>
      <x:c r="Q9" s="252" t="str">
        <x:v>COMPLETE</x:v>
      </x:c>
      <x:c r="R9" s="253" t="str">
        <x:v>EW-EV-007</x:v>
      </x:c>
    </x:row>
    <x:row r="10">
      <x:c r="A10" s="251" t="str">
        <x:v>EW-SZ-TER-PGS</x:v>
      </x:c>
      <x:c r="B10" s="252" t="str">
        <x:v>RPL_EW_SLD</x:v>
      </x:c>
      <x:c r="C10" s="252" t="str">
        <x:v>RPL_EW_FRAME</x:v>
      </x:c>
      <x:c r="D10" s="252" t="str">
        <x:v>2枚建</x:v>
      </x:c>
      <x:c r="E10" s="252" t="str">
        <x:v>テラス</x:v>
      </x:c>
      <x:c r="F10" s="252" t="str">
        <x:v>PGセレクト障子</x:v>
      </x:c>
      <x:c r="G10" s="268" t="n">
        <x:v>909</x:v>
      </x:c>
      <x:c r="H10" s="268" t="n">
        <x:v>2636</x:v>
      </x:c>
      <x:c r="I10" s="268" t="n">
        <x:v>1597</x:v>
      </x:c>
      <x:c r="J10" s="268" t="n">
        <x:v>2296</x:v>
      </x:c>
      <x:c r="K10" s="268" t="n">
        <x:v>919</x:v>
      </x:c>
      <x:c r="L10" s="268" t="n">
        <x:v>2646</x:v>
      </x:c>
      <x:c r="M10" s="268" t="n">
        <x:v>1607</x:v>
      </x:c>
      <x:c r="N10" s="268" t="n">
        <x:v>2306</x:v>
      </x:c>
      <x:c r="O10" s="252" t="str">
        <x:v>EW-BR-TER</x:v>
      </x:c>
      <x:c r="P10" s="252" t="str">
        <x:v>AUTO_WITH_BOUNDARY</x:v>
      </x:c>
      <x:c r="Q10" s="252" t="str">
        <x:v>COMPLETE</x:v>
      </x:c>
      <x:c r="R10" s="253" t="str">
        <x:v>EW-EV-007</x:v>
      </x:c>
    </x:row>
    <x:row r="11">
      <x:c r="A11" s="251" t="str">
        <x:v>EW-SZ-MAD-TGS</x:v>
      </x:c>
      <x:c r="B11" s="252" t="str">
        <x:v>RPL_EW_SLD</x:v>
      </x:c>
      <x:c r="C11" s="252" t="str">
        <x:v>RPL_EW_FRAME</x:v>
      </x:c>
      <x:c r="D11" s="252" t="str">
        <x:v>2枚建</x:v>
      </x:c>
      <x:c r="E11" s="252" t="str">
        <x:v>マド</x:v>
      </x:c>
      <x:c r="F11" s="252" t="str">
        <x:v>TGセレクト障子</x:v>
      </x:c>
      <x:c r="G11" s="268" t="n">
        <x:v>666</x:v>
      </x:c>
      <x:c r="H11" s="268" t="n">
        <x:v>2636</x:v>
      </x:c>
      <x:c r="I11" s="268" t="n">
        <x:v>526</x:v>
      </x:c>
      <x:c r="J11" s="268" t="n">
        <x:v>1596</x:v>
      </x:c>
      <x:c r="K11" s="268" t="n">
        <x:v>676</x:v>
      </x:c>
      <x:c r="L11" s="268" t="n">
        <x:v>2646</x:v>
      </x:c>
      <x:c r="M11" s="268" t="n">
        <x:v>536</x:v>
      </x:c>
      <x:c r="N11" s="268" t="n">
        <x:v>1606</x:v>
      </x:c>
      <x:c r="O11" s="252" t="str">
        <x:v>EW-BR-MAD</x:v>
      </x:c>
      <x:c r="P11" s="252" t="str">
        <x:v>AUTO_WITH_BOUNDARY</x:v>
      </x:c>
      <x:c r="Q11" s="252" t="str">
        <x:v>COMPLETE</x:v>
      </x:c>
      <x:c r="R11" s="253" t="str">
        <x:v>EW-EV-007</x:v>
      </x:c>
    </x:row>
    <x:row r="12">
      <x:c r="A12" s="254" t="str">
        <x:v>EW-SZ-TER-TGS</x:v>
      </x:c>
      <x:c r="B12" s="255" t="str">
        <x:v>RPL_EW_SLD</x:v>
      </x:c>
      <x:c r="C12" s="255" t="str">
        <x:v>RPL_EW_FRAME</x:v>
      </x:c>
      <x:c r="D12" s="255" t="str">
        <x:v>2枚建</x:v>
      </x:c>
      <x:c r="E12" s="255" t="str">
        <x:v>テラス</x:v>
      </x:c>
      <x:c r="F12" s="255" t="str">
        <x:v>TGセレクト障子</x:v>
      </x:c>
      <x:c r="G12" s="269" t="n">
        <x:v>909</x:v>
      </x:c>
      <x:c r="H12" s="269" t="n">
        <x:v>2636</x:v>
      </x:c>
      <x:c r="I12" s="269" t="n">
        <x:v>1597</x:v>
      </x:c>
      <x:c r="J12" s="269" t="n">
        <x:v>2296</x:v>
      </x:c>
      <x:c r="K12" s="269" t="n">
        <x:v>919</x:v>
      </x:c>
      <x:c r="L12" s="269" t="n">
        <x:v>2646</x:v>
      </x:c>
      <x:c r="M12" s="269" t="n">
        <x:v>1607</x:v>
      </x:c>
      <x:c r="N12" s="269" t="n">
        <x:v>2306</x:v>
      </x:c>
      <x:c r="O12" s="255" t="str">
        <x:v>EW-BR-TER</x:v>
      </x:c>
      <x:c r="P12" s="255" t="str">
        <x:v>AUTO_WITH_BOUNDARY</x:v>
      </x:c>
      <x:c r="Q12" s="255" t="str">
        <x:v>COMPLETE</x:v>
      </x:c>
      <x:c r="R12" s="256" t="str">
        <x:v>EW-EV-007</x:v>
      </x:c>
    </x:row>
    <x:row r="13">
      <x:c r="A13" s="35"/>
      <x:c r="B13" s="36"/>
      <x:c r="C13" s="36"/>
      <x:c r="D13" s="36"/>
      <x:c r="E13" s="36"/>
      <x:c r="F13" s="36"/>
      <x:c r="G13" s="62"/>
      <x:c r="H13" s="62"/>
      <x:c r="I13" s="62"/>
      <x:c r="J13" s="62"/>
      <x:c r="K13" s="62"/>
      <x:c r="L13" s="62"/>
      <x:c r="M13" s="62"/>
      <x:c r="N13" s="62"/>
      <x:c r="O13" s="36"/>
      <x:c r="P13" s="36"/>
      <x:c r="Q13" s="36"/>
      <x:c r="R13" s="37"/>
    </x:row>
    <x:row r="14">
      <x:c r="A14" s="35"/>
      <x:c r="B14" s="36"/>
      <x:c r="C14" s="36"/>
      <x:c r="D14" s="36"/>
      <x:c r="E14" s="36"/>
      <x:c r="F14" s="36"/>
      <x:c r="G14" s="62"/>
      <x:c r="H14" s="62"/>
      <x:c r="I14" s="62"/>
      <x:c r="J14" s="62"/>
      <x:c r="K14" s="62"/>
      <x:c r="L14" s="62"/>
      <x:c r="M14" s="62"/>
      <x:c r="N14" s="62"/>
      <x:c r="O14" s="36"/>
      <x:c r="P14" s="36"/>
      <x:c r="Q14" s="36"/>
      <x:c r="R14" s="37"/>
    </x:row>
    <x:row r="15">
      <x:c r="A15" s="35"/>
      <x:c r="B15" s="36"/>
      <x:c r="C15" s="36"/>
      <x:c r="D15" s="36"/>
      <x:c r="E15" s="36"/>
      <x:c r="F15" s="36"/>
      <x:c r="G15" s="62"/>
      <x:c r="H15" s="62"/>
      <x:c r="I15" s="62"/>
      <x:c r="J15" s="62"/>
      <x:c r="K15" s="62"/>
      <x:c r="L15" s="62"/>
      <x:c r="M15" s="62"/>
      <x:c r="N15" s="62"/>
      <x:c r="O15" s="36"/>
      <x:c r="P15" s="36"/>
      <x:c r="Q15" s="36"/>
      <x:c r="R15" s="37"/>
    </x:row>
    <x:row r="16">
      <x:c r="A16" s="35"/>
      <x:c r="B16" s="36"/>
      <x:c r="C16" s="36"/>
      <x:c r="D16" s="36"/>
      <x:c r="E16" s="36"/>
      <x:c r="F16" s="36"/>
      <x:c r="G16" s="62"/>
      <x:c r="H16" s="62"/>
      <x:c r="I16" s="62"/>
      <x:c r="J16" s="62"/>
      <x:c r="K16" s="62"/>
      <x:c r="L16" s="62"/>
      <x:c r="M16" s="62"/>
      <x:c r="N16" s="62"/>
      <x:c r="O16" s="36"/>
      <x:c r="P16" s="36"/>
      <x:c r="Q16" s="36"/>
      <x:c r="R16" s="37"/>
    </x:row>
    <x:row r="17">
      <x:c r="A17" s="35"/>
      <x:c r="B17" s="36"/>
      <x:c r="C17" s="36"/>
      <x:c r="D17" s="36"/>
      <x:c r="E17" s="36"/>
      <x:c r="F17" s="36"/>
      <x:c r="G17" s="62"/>
      <x:c r="H17" s="62"/>
      <x:c r="I17" s="62"/>
      <x:c r="J17" s="62"/>
      <x:c r="K17" s="62"/>
      <x:c r="L17" s="62"/>
      <x:c r="M17" s="62"/>
      <x:c r="N17" s="62"/>
      <x:c r="O17" s="36"/>
      <x:c r="P17" s="36"/>
      <x:c r="Q17" s="36"/>
      <x:c r="R17" s="37"/>
    </x:row>
    <x:row r="18">
      <x:c r="A18" s="35"/>
      <x:c r="B18" s="36"/>
      <x:c r="C18" s="36"/>
      <x:c r="D18" s="36"/>
      <x:c r="E18" s="36"/>
      <x:c r="F18" s="36"/>
      <x:c r="G18" s="62"/>
      <x:c r="H18" s="62"/>
      <x:c r="I18" s="62"/>
      <x:c r="J18" s="62"/>
      <x:c r="K18" s="62"/>
      <x:c r="L18" s="62"/>
      <x:c r="M18" s="62"/>
      <x:c r="N18" s="62"/>
      <x:c r="O18" s="36"/>
      <x:c r="P18" s="36"/>
      <x:c r="Q18" s="36"/>
      <x:c r="R18" s="37"/>
    </x:row>
    <x:row r="19">
      <x:c r="A19" s="35"/>
      <x:c r="B19" s="36"/>
      <x:c r="C19" s="36"/>
      <x:c r="D19" s="36"/>
      <x:c r="E19" s="36"/>
      <x:c r="F19" s="36"/>
      <x:c r="G19" s="62"/>
      <x:c r="H19" s="62"/>
      <x:c r="I19" s="62"/>
      <x:c r="J19" s="62"/>
      <x:c r="K19" s="62"/>
      <x:c r="L19" s="62"/>
      <x:c r="M19" s="62"/>
      <x:c r="N19" s="62"/>
      <x:c r="O19" s="36"/>
      <x:c r="P19" s="36"/>
      <x:c r="Q19" s="36"/>
      <x:c r="R19" s="37"/>
    </x:row>
    <x:row r="20">
      <x:c r="A20" s="35"/>
      <x:c r="B20" s="36"/>
      <x:c r="C20" s="36"/>
      <x:c r="D20" s="36"/>
      <x:c r="E20" s="36"/>
      <x:c r="F20" s="36"/>
      <x:c r="G20" s="62"/>
      <x:c r="H20" s="62"/>
      <x:c r="I20" s="62"/>
      <x:c r="J20" s="62"/>
      <x:c r="K20" s="62"/>
      <x:c r="L20" s="62"/>
      <x:c r="M20" s="62"/>
      <x:c r="N20" s="62"/>
      <x:c r="O20" s="36"/>
      <x:c r="P20" s="36"/>
      <x:c r="Q20" s="36"/>
      <x:c r="R20" s="37"/>
    </x:row>
    <x:row r="21">
      <x:c r="A21" s="38"/>
      <x:c r="B21" s="39"/>
      <x:c r="C21" s="39"/>
      <x:c r="D21" s="39"/>
      <x:c r="E21" s="39"/>
      <x:c r="F21" s="39"/>
      <x:c r="G21" s="63"/>
      <x:c r="H21" s="63"/>
      <x:c r="I21" s="63"/>
      <x:c r="J21" s="63"/>
      <x:c r="K21" s="63"/>
      <x:c r="L21" s="63"/>
      <x:c r="M21" s="63"/>
      <x:c r="N21" s="63"/>
      <x:c r="O21" s="39"/>
      <x:c r="P21" s="39"/>
      <x:c r="Q21" s="39"/>
      <x:c r="R21" s="40"/>
    </x:row>
  </x:sheetData>
  <x:mergeCells>
    <x:mergeCell ref="A1:R1"/>
    <x:mergeCell ref="A2:R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18" hidden="0" customWidth="1"/>
    <x:col min="9" max="9" width="42" hidden="0" customWidth="1"/>
    <x:col min="10" max="10" width="18" hidden="0" customWidth="1"/>
    <x:col min="11" max="11" width="20" hidden="0" customWidth="1"/>
  </x:cols>
  <x:sheetData>
    <x:row r="1" ht="28" customHeight="1">
      <x:c r="A1" s="243" t="str">
        <x:v>05A_サイズ区間｜EWタイプ 機械判定</x:v>
      </x:c>
      <x:c r="B1" s="243"/>
      <x:c r="C1" s="243"/>
      <x:c r="D1" s="243"/>
      <x:c r="E1" s="243"/>
      <x:c r="F1" s="243"/>
      <x:c r="G1" s="243"/>
      <x:c r="H1" s="243"/>
      <x:c r="I1" s="243"/>
      <x:c r="J1" s="243"/>
      <x:c r="K1" s="243"/>
    </x:row>
    <x:row r="2" ht="36" customHeight="1">
      <x:c r="A2" s="179"/>
      <x:c r="B2" s="179"/>
      <x:c r="C2" s="179"/>
      <x:c r="D2" s="179"/>
      <x:c r="E2" s="179"/>
      <x:c r="F2" s="179"/>
      <x:c r="G2" s="179"/>
      <x:c r="H2" s="179"/>
      <x:c r="I2" s="179"/>
      <x:c r="J2" s="179"/>
      <x:c r="K2" s="179"/>
    </x:row>
    <x:row r="3">
      <x:c r="A3" s="248" t="str">
        <x:v>segment_id</x:v>
      </x:c>
      <x:c r="B3" s="249" t="str">
        <x:v>size_rule_id</x:v>
      </x:c>
      <x:c r="C3" s="249" t="str">
        <x:v>finished_w_min</x:v>
      </x:c>
      <x:c r="D3" s="249" t="str">
        <x:v>finished_w_max</x:v>
      </x:c>
      <x:c r="E3" s="249" t="str">
        <x:v>finished_h_min</x:v>
      </x:c>
      <x:c r="F3" s="249" t="str">
        <x:v>finished_h_max</x:v>
      </x:c>
      <x:c r="G3" s="249" t="str">
        <x:v>condition_formula</x:v>
      </x:c>
      <x:c r="H3" s="249" t="str">
        <x:v>effect</x:v>
      </x:c>
      <x:c r="I3" s="249" t="str">
        <x:v>説明</x:v>
      </x:c>
      <x:c r="J3" s="249" t="str">
        <x:v>status</x:v>
      </x:c>
      <x:c r="K3" s="250" t="str">
        <x:v>evidence</x:v>
      </x:c>
    </x:row>
    <x:row r="4" ht="30" customHeight="1">
      <x:c r="A4" s="258" t="str">
        <x:v>EW-SEG-MAD-PG-L</x:v>
      </x:c>
      <x:c r="B4" s="266" t="str">
        <x:v>EW-SZ-MAD-PG</x:v>
      </x:c>
      <x:c r="C4" s="266" t="n">
        <x:v>666</x:v>
      </x:c>
      <x:c r="D4" s="266" t="n">
        <x:v>1158</x:v>
      </x:c>
      <x:c r="E4" s="266" t="n">
        <x:v>526</x:v>
      </x:c>
      <x:c r="F4" s="266" t="n">
        <x:v>1596</x:v>
      </x:c>
      <x:c r="G4" s="266" t="str">
        <x:v>HD &lt;= 1.4*(WD-36)+26</x:v>
      </x:c>
      <x:c r="H4" s="266" t="str">
        <x:v>ALLOW_IF</x:v>
      </x:c>
      <x:c r="I4" s="266" t="str">
        <x:v>マド左側斜線</x:v>
      </x:c>
      <x:c r="J4" s="266" t="str">
        <x:v>COMPLETE</x:v>
      </x:c>
      <x:c r="K4" s="259" t="str">
        <x:v>EW-EV-007</x:v>
      </x:c>
    </x:row>
    <x:row r="5">
      <x:c r="A5" s="251" t="str">
        <x:v>EW-SEG-MAD-PG-R</x:v>
      </x:c>
      <x:c r="B5" s="252" t="str">
        <x:v>EW-SZ-MAD-PG</x:v>
      </x:c>
      <x:c r="C5" s="252" t="n">
        <x:v>1158</x:v>
      </x:c>
      <x:c r="D5" s="252" t="n">
        <x:v>2636</x:v>
      </x:c>
      <x:c r="E5" s="252" t="n">
        <x:v>526</x:v>
      </x:c>
      <x:c r="F5" s="252" t="n">
        <x:v>1596</x:v>
      </x:c>
      <x:c r="G5" s="252" t="str">
        <x:v>HD &lt;= 1596</x:v>
      </x:c>
      <x:c r="H5" s="252" t="str">
        <x:v>ALLOW_IF</x:v>
      </x:c>
      <x:c r="I5" s="252" t="str">
        <x:v>マド上限水平</x:v>
      </x:c>
      <x:c r="J5" s="252" t="str">
        <x:v>COMPLETE</x:v>
      </x:c>
      <x:c r="K5" s="253" t="str">
        <x:v>EW-EV-007</x:v>
      </x:c>
    </x:row>
    <x:row r="6">
      <x:c r="A6" s="251" t="str">
        <x:v>EW-SEG-TER-PG-L</x:v>
      </x:c>
      <x:c r="B6" s="252" t="str">
        <x:v>EW-SZ-TER-PG</x:v>
      </x:c>
      <x:c r="C6" s="252" t="n">
        <x:v>909</x:v>
      </x:c>
      <x:c r="D6" s="252" t="n">
        <x:v>1298</x:v>
      </x:c>
      <x:c r="E6" s="252" t="n">
        <x:v>1597</x:v>
      </x:c>
      <x:c r="F6" s="252" t="n">
        <x:v>2296</x:v>
      </x:c>
      <x:c r="G6" s="252" t="str">
        <x:v>HD &lt;= 1.8*(WD-36)+26</x:v>
      </x:c>
      <x:c r="H6" s="252" t="str">
        <x:v>ALLOW_IF</x:v>
      </x:c>
      <x:c r="I6" s="252" t="str">
        <x:v>テラス左側斜線</x:v>
      </x:c>
      <x:c r="J6" s="252" t="str">
        <x:v>COMPLETE</x:v>
      </x:c>
      <x:c r="K6" s="253" t="str">
        <x:v>EW-EV-007</x:v>
      </x:c>
    </x:row>
    <x:row r="7">
      <x:c r="A7" s="251" t="str">
        <x:v>EW-SEG-TER-PG-R</x:v>
      </x:c>
      <x:c r="B7" s="252" t="str">
        <x:v>EW-SZ-TER-PG</x:v>
      </x:c>
      <x:c r="C7" s="252" t="n">
        <x:v>1298</x:v>
      </x:c>
      <x:c r="D7" s="252" t="n">
        <x:v>2636</x:v>
      </x:c>
      <x:c r="E7" s="252" t="n">
        <x:v>1597</x:v>
      </x:c>
      <x:c r="F7" s="252" t="n">
        <x:v>2296</x:v>
      </x:c>
      <x:c r="G7" s="252" t="str">
        <x:v>HD &lt;= 2296</x:v>
      </x:c>
      <x:c r="H7" s="252" t="str">
        <x:v>ALLOW_IF</x:v>
      </x:c>
      <x:c r="I7" s="252" t="str">
        <x:v>テラス上限水平</x:v>
      </x:c>
      <x:c r="J7" s="252" t="str">
        <x:v>COMPLETE</x:v>
      </x:c>
      <x:c r="K7" s="253" t="str">
        <x:v>EW-EV-007</x:v>
      </x:c>
    </x:row>
    <x:row r="8">
      <x:c r="A8" s="251" t="str">
        <x:v>EW-SEG-MAD-TG-L</x:v>
      </x:c>
      <x:c r="B8" s="252" t="str">
        <x:v>EW-SZ-MAD-TG</x:v>
      </x:c>
      <x:c r="C8" s="252" t="n">
        <x:v>666</x:v>
      </x:c>
      <x:c r="D8" s="252" t="n">
        <x:v>1158</x:v>
      </x:c>
      <x:c r="E8" s="252" t="n">
        <x:v>526</x:v>
      </x:c>
      <x:c r="F8" s="252" t="n">
        <x:v>1596</x:v>
      </x:c>
      <x:c r="G8" s="252" t="str">
        <x:v>HD &lt;= 1.4*(WD-36)+26</x:v>
      </x:c>
      <x:c r="H8" s="252" t="str">
        <x:v>ALLOW_IF</x:v>
      </x:c>
      <x:c r="I8" s="252" t="str">
        <x:v>マド左側斜線</x:v>
      </x:c>
      <x:c r="J8" s="252" t="str">
        <x:v>COMPLETE</x:v>
      </x:c>
      <x:c r="K8" s="253" t="str">
        <x:v>EW-EV-007</x:v>
      </x:c>
    </x:row>
    <x:row r="9">
      <x:c r="A9" s="251" t="str">
        <x:v>EW-SEG-MAD-TG-R</x:v>
      </x:c>
      <x:c r="B9" s="252" t="str">
        <x:v>EW-SZ-MAD-TG</x:v>
      </x:c>
      <x:c r="C9" s="252" t="n">
        <x:v>1158</x:v>
      </x:c>
      <x:c r="D9" s="252" t="n">
        <x:v>2636</x:v>
      </x:c>
      <x:c r="E9" s="252" t="n">
        <x:v>526</x:v>
      </x:c>
      <x:c r="F9" s="252" t="n">
        <x:v>1596</x:v>
      </x:c>
      <x:c r="G9" s="252" t="str">
        <x:v>HD &lt;= 1596</x:v>
      </x:c>
      <x:c r="H9" s="252" t="str">
        <x:v>ALLOW_IF</x:v>
      </x:c>
      <x:c r="I9" s="252" t="str">
        <x:v>マド上限水平</x:v>
      </x:c>
      <x:c r="J9" s="252" t="str">
        <x:v>COMPLETE</x:v>
      </x:c>
      <x:c r="K9" s="253" t="str">
        <x:v>EW-EV-007</x:v>
      </x:c>
    </x:row>
    <x:row r="10">
      <x:c r="A10" s="251" t="str">
        <x:v>EW-SEG-TER-TG-L</x:v>
      </x:c>
      <x:c r="B10" s="252" t="str">
        <x:v>EW-SZ-TER-TG</x:v>
      </x:c>
      <x:c r="C10" s="252" t="n">
        <x:v>909</x:v>
      </x:c>
      <x:c r="D10" s="252" t="n">
        <x:v>1298</x:v>
      </x:c>
      <x:c r="E10" s="252" t="n">
        <x:v>1597</x:v>
      </x:c>
      <x:c r="F10" s="252" t="n">
        <x:v>2296</x:v>
      </x:c>
      <x:c r="G10" s="252" t="str">
        <x:v>HD &lt;= 1.8*(WD-36)+26</x:v>
      </x:c>
      <x:c r="H10" s="252" t="str">
        <x:v>ALLOW_IF</x:v>
      </x:c>
      <x:c r="I10" s="252" t="str">
        <x:v>テラス左側斜線</x:v>
      </x:c>
      <x:c r="J10" s="252" t="str">
        <x:v>COMPLETE</x:v>
      </x:c>
      <x:c r="K10" s="253" t="str">
        <x:v>EW-EV-007</x:v>
      </x:c>
    </x:row>
    <x:row r="11">
      <x:c r="A11" s="251" t="str">
        <x:v>EW-SEG-TER-TG-R</x:v>
      </x:c>
      <x:c r="B11" s="252" t="str">
        <x:v>EW-SZ-TER-TG</x:v>
      </x:c>
      <x:c r="C11" s="252" t="n">
        <x:v>1298</x:v>
      </x:c>
      <x:c r="D11" s="252" t="n">
        <x:v>2636</x:v>
      </x:c>
      <x:c r="E11" s="252" t="n">
        <x:v>1597</x:v>
      </x:c>
      <x:c r="F11" s="252" t="n">
        <x:v>2296</x:v>
      </x:c>
      <x:c r="G11" s="252" t="str">
        <x:v>HD &lt;= 2296</x:v>
      </x:c>
      <x:c r="H11" s="252" t="str">
        <x:v>ALLOW_IF</x:v>
      </x:c>
      <x:c r="I11" s="252" t="str">
        <x:v>テラス上限水平</x:v>
      </x:c>
      <x:c r="J11" s="252" t="str">
        <x:v>COMPLETE</x:v>
      </x:c>
      <x:c r="K11" s="253" t="str">
        <x:v>EW-EV-007</x:v>
      </x:c>
    </x:row>
    <x:row r="12">
      <x:c r="A12" s="251" t="str">
        <x:v>EW-SEG-MAD-PGS-L</x:v>
      </x:c>
      <x:c r="B12" s="252" t="str">
        <x:v>EW-SZ-MAD-PGS</x:v>
      </x:c>
      <x:c r="C12" s="252" t="n">
        <x:v>666</x:v>
      </x:c>
      <x:c r="D12" s="252" t="n">
        <x:v>1158</x:v>
      </x:c>
      <x:c r="E12" s="252" t="n">
        <x:v>526</x:v>
      </x:c>
      <x:c r="F12" s="252" t="n">
        <x:v>1596</x:v>
      </x:c>
      <x:c r="G12" s="252" t="str">
        <x:v>HD &lt;= 1.4*(WD-36)+26</x:v>
      </x:c>
      <x:c r="H12" s="252" t="str">
        <x:v>ALLOW_IF</x:v>
      </x:c>
      <x:c r="I12" s="252" t="str">
        <x:v>マド左側斜線</x:v>
      </x:c>
      <x:c r="J12" s="252" t="str">
        <x:v>COMPLETE</x:v>
      </x:c>
      <x:c r="K12" s="253" t="str">
        <x:v>EW-EV-007</x:v>
      </x:c>
    </x:row>
    <x:row r="13">
      <x:c r="A13" s="251" t="str">
        <x:v>EW-SEG-MAD-PGS-R</x:v>
      </x:c>
      <x:c r="B13" s="252" t="str">
        <x:v>EW-SZ-MAD-PGS</x:v>
      </x:c>
      <x:c r="C13" s="252" t="n">
        <x:v>1158</x:v>
      </x:c>
      <x:c r="D13" s="252" t="n">
        <x:v>2636</x:v>
      </x:c>
      <x:c r="E13" s="252" t="n">
        <x:v>526</x:v>
      </x:c>
      <x:c r="F13" s="252" t="n">
        <x:v>1596</x:v>
      </x:c>
      <x:c r="G13" s="252" t="str">
        <x:v>HD &lt;= 1596</x:v>
      </x:c>
      <x:c r="H13" s="252" t="str">
        <x:v>ALLOW_IF</x:v>
      </x:c>
      <x:c r="I13" s="252" t="str">
        <x:v>マド上限水平</x:v>
      </x:c>
      <x:c r="J13" s="252" t="str">
        <x:v>COMPLETE</x:v>
      </x:c>
      <x:c r="K13" s="253" t="str">
        <x:v>EW-EV-007</x:v>
      </x:c>
    </x:row>
    <x:row r="14">
      <x:c r="A14" s="251" t="str">
        <x:v>EW-SEG-TER-PGS-L</x:v>
      </x:c>
      <x:c r="B14" s="252" t="str">
        <x:v>EW-SZ-TER-PGS</x:v>
      </x:c>
      <x:c r="C14" s="252" t="n">
        <x:v>909</x:v>
      </x:c>
      <x:c r="D14" s="252" t="n">
        <x:v>1298</x:v>
      </x:c>
      <x:c r="E14" s="252" t="n">
        <x:v>1597</x:v>
      </x:c>
      <x:c r="F14" s="252" t="n">
        <x:v>2296</x:v>
      </x:c>
      <x:c r="G14" s="252" t="str">
        <x:v>HD &lt;= 1.8*(WD-36)+26</x:v>
      </x:c>
      <x:c r="H14" s="252" t="str">
        <x:v>ALLOW_IF</x:v>
      </x:c>
      <x:c r="I14" s="252" t="str">
        <x:v>テラス左側斜線</x:v>
      </x:c>
      <x:c r="J14" s="252" t="str">
        <x:v>COMPLETE</x:v>
      </x:c>
      <x:c r="K14" s="253" t="str">
        <x:v>EW-EV-007</x:v>
      </x:c>
    </x:row>
    <x:row r="15">
      <x:c r="A15" s="251" t="str">
        <x:v>EW-SEG-TER-PGS-R</x:v>
      </x:c>
      <x:c r="B15" s="252" t="str">
        <x:v>EW-SZ-TER-PGS</x:v>
      </x:c>
      <x:c r="C15" s="252" t="n">
        <x:v>1298</x:v>
      </x:c>
      <x:c r="D15" s="252" t="n">
        <x:v>2636</x:v>
      </x:c>
      <x:c r="E15" s="252" t="n">
        <x:v>1597</x:v>
      </x:c>
      <x:c r="F15" s="252" t="n">
        <x:v>2296</x:v>
      </x:c>
      <x:c r="G15" s="252" t="str">
        <x:v>HD &lt;= 2296</x:v>
      </x:c>
      <x:c r="H15" s="252" t="str">
        <x:v>ALLOW_IF</x:v>
      </x:c>
      <x:c r="I15" s="252" t="str">
        <x:v>テラス上限水平</x:v>
      </x:c>
      <x:c r="J15" s="252" t="str">
        <x:v>COMPLETE</x:v>
      </x:c>
      <x:c r="K15" s="253" t="str">
        <x:v>EW-EV-007</x:v>
      </x:c>
    </x:row>
    <x:row r="16">
      <x:c r="A16" s="251" t="str">
        <x:v>EW-SEG-MAD-TGS-L</x:v>
      </x:c>
      <x:c r="B16" s="252" t="str">
        <x:v>EW-SZ-MAD-TGS</x:v>
      </x:c>
      <x:c r="C16" s="252" t="n">
        <x:v>666</x:v>
      </x:c>
      <x:c r="D16" s="252" t="n">
        <x:v>1158</x:v>
      </x:c>
      <x:c r="E16" s="252" t="n">
        <x:v>526</x:v>
      </x:c>
      <x:c r="F16" s="252" t="n">
        <x:v>1596</x:v>
      </x:c>
      <x:c r="G16" s="252" t="str">
        <x:v>HD &lt;= 1.4*(WD-36)+26</x:v>
      </x:c>
      <x:c r="H16" s="252" t="str">
        <x:v>ALLOW_IF</x:v>
      </x:c>
      <x:c r="I16" s="252" t="str">
        <x:v>マド左側斜線</x:v>
      </x:c>
      <x:c r="J16" s="252" t="str">
        <x:v>COMPLETE</x:v>
      </x:c>
      <x:c r="K16" s="253" t="str">
        <x:v>EW-EV-007</x:v>
      </x:c>
    </x:row>
    <x:row r="17">
      <x:c r="A17" s="251" t="str">
        <x:v>EW-SEG-MAD-TGS-R</x:v>
      </x:c>
      <x:c r="B17" s="252" t="str">
        <x:v>EW-SZ-MAD-TGS</x:v>
      </x:c>
      <x:c r="C17" s="252" t="n">
        <x:v>1158</x:v>
      </x:c>
      <x:c r="D17" s="252" t="n">
        <x:v>2636</x:v>
      </x:c>
      <x:c r="E17" s="252" t="n">
        <x:v>526</x:v>
      </x:c>
      <x:c r="F17" s="252" t="n">
        <x:v>1596</x:v>
      </x:c>
      <x:c r="G17" s="252" t="str">
        <x:v>HD &lt;= 1596</x:v>
      </x:c>
      <x:c r="H17" s="252" t="str">
        <x:v>ALLOW_IF</x:v>
      </x:c>
      <x:c r="I17" s="252" t="str">
        <x:v>マド上限水平</x:v>
      </x:c>
      <x:c r="J17" s="252" t="str">
        <x:v>COMPLETE</x:v>
      </x:c>
      <x:c r="K17" s="253" t="str">
        <x:v>EW-EV-007</x:v>
      </x:c>
    </x:row>
    <x:row r="18">
      <x:c r="A18" s="251" t="str">
        <x:v>EW-SEG-TER-TGS-L</x:v>
      </x:c>
      <x:c r="B18" s="252" t="str">
        <x:v>EW-SZ-TER-TGS</x:v>
      </x:c>
      <x:c r="C18" s="252" t="n">
        <x:v>909</x:v>
      </x:c>
      <x:c r="D18" s="252" t="n">
        <x:v>1298</x:v>
      </x:c>
      <x:c r="E18" s="252" t="n">
        <x:v>1597</x:v>
      </x:c>
      <x:c r="F18" s="252" t="n">
        <x:v>2296</x:v>
      </x:c>
      <x:c r="G18" s="252" t="str">
        <x:v>HD &lt;= 1.8*(WD-36)+26</x:v>
      </x:c>
      <x:c r="H18" s="252" t="str">
        <x:v>ALLOW_IF</x:v>
      </x:c>
      <x:c r="I18" s="252" t="str">
        <x:v>テラス左側斜線</x:v>
      </x:c>
      <x:c r="J18" s="252" t="str">
        <x:v>COMPLETE</x:v>
      </x:c>
      <x:c r="K18" s="253" t="str">
        <x:v>EW-EV-007</x:v>
      </x:c>
    </x:row>
    <x:row r="19">
      <x:c r="A19" s="254" t="str">
        <x:v>EW-SEG-TER-TGS-R</x:v>
      </x:c>
      <x:c r="B19" s="255" t="str">
        <x:v>EW-SZ-TER-TGS</x:v>
      </x:c>
      <x:c r="C19" s="255" t="n">
        <x:v>1298</x:v>
      </x:c>
      <x:c r="D19" s="255" t="n">
        <x:v>2636</x:v>
      </x:c>
      <x:c r="E19" s="255" t="n">
        <x:v>1597</x:v>
      </x:c>
      <x:c r="F19" s="255" t="n">
        <x:v>2296</x:v>
      </x:c>
      <x:c r="G19" s="255" t="str">
        <x:v>HD &lt;= 2296</x:v>
      </x:c>
      <x:c r="H19" s="255" t="str">
        <x:v>ALLOW_IF</x:v>
      </x:c>
      <x:c r="I19" s="255" t="str">
        <x:v>テラス上限水平</x:v>
      </x:c>
      <x:c r="J19" s="255" t="str">
        <x:v>COMPLETE</x:v>
      </x:c>
      <x:c r="K19" s="256" t="str">
        <x:v>EW-EV-007</x:v>
      </x:c>
    </x:row>
  </x:sheetData>
  <x:mergeCells>
    <x:mergeCell ref="A1:J1"/>
    <x:mergeCell ref="A2:J2"/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36" hidden="0" customWidth="1"/>
    <x:col min="5" max="5" width="34" hidden="0" customWidth="1"/>
    <x:col min="6" max="6" width="24" hidden="0" customWidth="1"/>
    <x:col min="7" max="7" width="72" hidden="0" customWidth="1"/>
    <x:col min="8" max="8" width="30" hidden="0" customWidth="1"/>
    <x:col min="9" max="9" width="20" hidden="0" customWidth="1"/>
  </x:cols>
  <x:sheetData>
    <x:row r="1" ht="28" customHeight="1">
      <x:c r="A1" s="243" t="str">
        <x:v>05B_境界ルール｜EWタイプ 特殊境界</x:v>
      </x:c>
      <x:c r="B1" s="243"/>
      <x:c r="C1" s="243"/>
      <x:c r="D1" s="243"/>
      <x:c r="E1" s="243"/>
      <x:c r="F1" s="243"/>
      <x:c r="G1" s="243"/>
      <x:c r="H1" s="243"/>
      <x:c r="I1" s="243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248" t="str">
        <x:v>boundary_rule_id</x:v>
      </x:c>
      <x:c r="B3" s="249" t="str">
        <x:v>size_rule_scope</x:v>
      </x:c>
      <x:c r="C3" s="249" t="str">
        <x:v>boundary_type</x:v>
      </x:c>
      <x:c r="D3" s="249" t="str">
        <x:v>official_formula</x:v>
      </x:c>
      <x:c r="E3" s="249" t="str">
        <x:v>scope</x:v>
      </x:c>
      <x:c r="F3" s="249" t="str">
        <x:v>auto_mode</x:v>
      </x:c>
      <x:c r="G3" s="249" t="str">
        <x:v>判定メモ</x:v>
      </x:c>
      <x:c r="H3" s="249" t="str">
        <x:v>status</x:v>
      </x:c>
      <x:c r="I3" s="250" t="str">
        <x:v>evidence</x:v>
      </x:c>
    </x:row>
    <x:row r="4" ht="30" customHeight="1">
      <x:c r="A4" s="258" t="str">
        <x:v>EW-BR-MAD</x:v>
      </x:c>
      <x:c r="B4" s="266" t="str">
        <x:v>EW-SZ-MAD-*</x:v>
      </x:c>
      <x:c r="C4" s="266" t="str">
        <x:v>FORMULA</x:v>
      </x:c>
      <x:c r="D4" s="266" t="str">
        <x:v>(HD-26)/(WD-36)=1.4</x:v>
      </x:c>
      <x:c r="E4" s="266" t="str">
        <x:v>WD 666～1158</x:v>
      </x:c>
      <x:c r="F4" s="266" t="str">
        <x:v>AUTO</x:v>
      </x:c>
      <x:c r="G4" s="266" t="str">
        <x:v>公開式で直接比較</x:v>
      </x:c>
      <x:c r="H4" s="266" t="str">
        <x:v>COMPLETE</x:v>
      </x:c>
      <x:c r="I4" s="253" t="str">
        <x:v>EW-EV-007</x:v>
      </x:c>
    </x:row>
    <x:row r="5">
      <x:c r="A5" s="251" t="str">
        <x:v>EW-BR-TER</x:v>
      </x:c>
      <x:c r="B5" s="252" t="str">
        <x:v>EW-SZ-TER-*</x:v>
      </x:c>
      <x:c r="C5" s="252" t="str">
        <x:v>FORMULA</x:v>
      </x:c>
      <x:c r="D5" s="252" t="str">
        <x:v>(HD-26)/(WD-36)=1.8</x:v>
      </x:c>
      <x:c r="E5" s="252" t="str">
        <x:v>WD 909～1298</x:v>
      </x:c>
      <x:c r="F5" s="252" t="str">
        <x:v>AUTO</x:v>
      </x:c>
      <x:c r="G5" s="252" t="str">
        <x:v>公開式で直接比較</x:v>
      </x:c>
      <x:c r="H5" s="252" t="str">
        <x:v>COMPLETE</x:v>
      </x:c>
      <x:c r="I5" s="253" t="str">
        <x:v>EW-EV-007</x:v>
      </x:c>
    </x:row>
    <x:row r="6">
      <x:c r="A6" s="251" t="str">
        <x:v>EW-BR-INNERFIT</x:v>
      </x:c>
      <x:c r="B6" s="252" t="str">
        <x:v>ALL</x:v>
      </x:c>
      <x:c r="C6" s="252" t="str">
        <x:v>GRAPHIC_SHADE</x:v>
      </x:c>
      <x:c r="D6" s="252" t="str">
        <x:v>寸法特注範囲図の網掛け</x:v>
      </x:c>
      <x:c r="E6" s="252" t="str">
        <x:v>内嵌め用製作範囲</x:v>
      </x:c>
      <x:c r="F6" s="252" t="str">
        <x:v>EXTERNAL_CHECK</x:v>
      </x:c>
      <x:c r="G6" s="252" t="str">
        <x:v>細部ポリゴンは推測しない</x:v>
      </x:c>
      <x:c r="H6" s="252" t="str">
        <x:v>COMPLETE_WITH_EXTERNAL_CHECK</x:v>
      </x:c>
      <x:c r="I6" s="253" t="str">
        <x:v>EW-EV-007</x:v>
      </x:c>
    </x:row>
    <x:row r="7">
      <x:c r="A7" s="251" t="str">
        <x:v>EW-BR-GLASS</x:v>
      </x:c>
      <x:c r="B7" s="252" t="str">
        <x:v>ALL</x:v>
      </x:c>
      <x:c r="C7" s="252" t="str">
        <x:v>GLASS_AREA/ROLLER_LOAD</x:v>
      </x:c>
      <x:c r="D7" s="252" t="str">
        <x:v>公式p.109制限表</x:v>
      </x:c>
      <x:c r="E7" s="252" t="str">
        <x:v>ガラス構成依存</x:v>
      </x:c>
      <x:c r="F7" s="252" t="str">
        <x:v>EXTERNAL_CHECK</x:v>
      </x:c>
      <x:c r="G7" s="252" t="str">
        <x:v>完成品ガラス範囲・戸車耐荷重を最終確認</x:v>
      </x:c>
      <x:c r="H7" s="252" t="str">
        <x:v>COMPLETE_WITH_EXTERNAL_CHECK</x:v>
      </x:c>
      <x:c r="I7" s="253" t="str">
        <x:v>EW-EV-012</x:v>
      </x:c>
    </x:row>
    <x:row r="8">
      <x:c r="A8" s="254" t="str">
        <x:v>EW-BR-WIND</x:v>
      </x:c>
      <x:c r="B8" s="255" t="str">
        <x:v>ALL</x:v>
      </x:c>
      <x:c r="C8" s="255" t="str">
        <x:v>WIND_PRESSURE</x:v>
      </x:c>
      <x:c r="D8" s="255" t="str">
        <x:v>S-1以上の範囲</x:v>
      </x:c>
      <x:c r="E8" s="255" t="str">
        <x:v>耐風圧依存</x:v>
      </x:c>
      <x:c r="F8" s="255" t="str">
        <x:v>EXTERNAL_CHECK</x:v>
      </x:c>
      <x:c r="G8" s="255" t="str">
        <x:v>要求耐風圧は通常UI入力にしない</x:v>
      </x:c>
      <x:c r="H8" s="255" t="str">
        <x:v>COMPLETE_WITH_EXTERNAL_CHECK</x:v>
      </x:c>
      <x:c r="I8" s="256" t="str">
        <x:v>EW-EV-001,007</x:v>
      </x:c>
    </x:row>
    <x:row r="9">
      <x:c r="A9" s="184"/>
      <x:c r="B9" s="185"/>
      <x:c r="C9" s="185"/>
      <x:c r="D9" s="185"/>
      <x:c r="E9" s="185"/>
      <x:c r="F9" s="185"/>
      <x:c r="G9" s="185"/>
      <x:c r="H9" s="185"/>
      <x:c r="I9" s="186"/>
    </x:row>
    <x:row r="10">
      <x:c r="A10" s="187"/>
      <x:c r="B10" s="188"/>
      <x:c r="C10" s="188"/>
      <x:c r="D10" s="188"/>
      <x:c r="E10" s="188"/>
      <x:c r="F10" s="188"/>
      <x:c r="G10" s="188"/>
      <x:c r="H10" s="188"/>
      <x:c r="I10" s="189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5"/>
      <x:c r="B15" s="36"/>
      <x:c r="C15" s="36"/>
      <x:c r="D15" s="36"/>
      <x:c r="E15" s="36"/>
      <x:c r="F15" s="36"/>
      <x:c r="G15" s="36"/>
      <x:c r="H15" s="37"/>
    </x:row>
    <x:row r="16">
      <x:c r="A16" s="38"/>
      <x:c r="B16" s="39"/>
      <x:c r="C16" s="39"/>
      <x:c r="D16" s="39"/>
      <x:c r="E16" s="39"/>
      <x:c r="F16" s="39"/>
      <x:c r="G16" s="39"/>
      <x:c r="H16" s="40"/>
    </x:row>
  </x:sheetData>
  <x:mergeCells>
    <x:mergeCell ref="A1:H1"/>
    <x:mergeCell ref="A2:H2"/>
    <x:mergeCell ref="A1:I1"/>
  </x:mergeCells>
  <x:pageMargins left="0.7" right="0.7" top="0.75" bottom="0.75" header="0.3" footer="0.3"/>
</x:worksheet>
</file>

<file path=xl/worksheets/sheet14.xml><?xml version="1.0" encoding="utf-8"?>
<worksheet xmlns="http://schemas.openxmlformats.org/spreadsheetml/2006/main">
  <sheetFormatPr defaultRowHeight="15"/>
  <cols>
    <col min="1" max="1" width="24" hidden="0" customWidth="1"/>
    <col min="2" max="2" width="30" hidden="0" customWidth="1"/>
    <col min="3" max="3" width="12" hidden="0" customWidth="1"/>
    <col min="4" max="4" width="32" hidden="0" customWidth="1"/>
    <col min="5" max="5" width="14" hidden="0" customWidth="1"/>
    <col min="6" max="6" width="30" hidden="0" customWidth="1"/>
    <col min="7" max="7" width="18" hidden="0" customWidth="1"/>
    <col min="8" max="8" width="20" hidden="0" customWidth="1"/>
  </cols>
  <sheetData>
    <row r="1" ht="28" customHeight="1">
      <c r="A1" s="243" t="str">
        <v>06_色｜EWタイプ</v>
      </c>
      <c r="B1" s="243"/>
      <c r="C1" s="243"/>
      <c r="D1" s="243"/>
      <c r="E1" s="243"/>
      <c r="F1" s="243"/>
      <c r="G1" s="243"/>
      <c r="H1" s="243"/>
    </row>
    <row r="3" ht="30" customHeight="1">
      <c r="A3" s="248" t="str">
        <v>color_id</v>
      </c>
      <c r="B3" s="249" t="str">
        <v>color_role</v>
      </c>
      <c r="C3" s="249" t="str">
        <v>code</v>
      </c>
      <c r="D3" s="249" t="str">
        <v>正式名称</v>
      </c>
      <c r="E3" s="249" t="str">
        <v>color_mode</v>
      </c>
      <c r="F3" s="249" t="str">
        <v>対象部位</v>
      </c>
      <c r="G3" s="249" t="str">
        <v>status</v>
      </c>
      <c r="H3" s="250" t="str">
        <v>evidence</v>
      </c>
    </row>
    <row r="4">
      <c r="A4" s="251" t="str">
        <v>EW-COL-EXT-T</v>
      </c>
      <c r="B4" s="252" t="str">
        <v>sash_exterior_color</v>
      </c>
      <c r="C4" s="252" t="str">
        <v>T</v>
      </c>
      <c r="D4" s="252" t="str">
        <v>ブラック</v>
      </c>
      <c r="E4" s="252" t="str">
        <v>FREE</v>
      </c>
      <c r="F4" s="252" t="str">
        <v>サッシ外観色</v>
      </c>
      <c r="G4" s="252" t="str">
        <v>COMPLETE</v>
      </c>
      <c r="H4" s="253" t="str">
        <v>EW-EV-003,004</v>
      </c>
    </row>
    <row r="5">
      <c r="A5" s="251" t="str">
        <v>EW-COL-COV-T</v>
      </c>
      <c r="B5" s="252" t="str">
        <v>exterior_cover_color</v>
      </c>
      <c r="C5" s="252" t="str">
        <v>T</v>
      </c>
      <c r="D5" s="252" t="str">
        <v>ブラック</v>
      </c>
      <c r="E5" s="252" t="str">
        <v>FREE</v>
      </c>
      <c r="F5" s="252" t="str">
        <v>化粧カバー</v>
      </c>
      <c r="G5" s="252" t="str">
        <v>COMPLETE</v>
      </c>
      <c r="H5" s="253" t="str">
        <v>EW-EV-003,004</v>
      </c>
    </row>
    <row r="6">
      <c r="A6" s="251" t="str">
        <v>EW-COL-EXT-G</v>
      </c>
      <c r="B6" s="252" t="str">
        <v>sash_exterior_color</v>
      </c>
      <c r="C6" s="252" t="str">
        <v>G</v>
      </c>
      <c r="D6" s="252" t="str">
        <v>オータムブラウン</v>
      </c>
      <c r="E6" s="252" t="str">
        <v>FREE</v>
      </c>
      <c r="F6" s="252" t="str">
        <v>サッシ外観色</v>
      </c>
      <c r="G6" s="252" t="str">
        <v>COMPLETE</v>
      </c>
      <c r="H6" s="253" t="str">
        <v>EW-EV-003,004</v>
      </c>
    </row>
    <row r="7">
      <c r="A7" s="251" t="str">
        <v>EW-COL-COV-G</v>
      </c>
      <c r="B7" s="252" t="str">
        <v>exterior_cover_color</v>
      </c>
      <c r="C7" s="252" t="str">
        <v>G</v>
      </c>
      <c r="D7" s="252" t="str">
        <v>オータムブラウン</v>
      </c>
      <c r="E7" s="252" t="str">
        <v>FREE</v>
      </c>
      <c r="F7" s="252" t="str">
        <v>化粧カバー</v>
      </c>
      <c r="G7" s="252" t="str">
        <v>COMPLETE</v>
      </c>
      <c r="H7" s="253" t="str">
        <v>EW-EV-003,004</v>
      </c>
    </row>
    <row r="8">
      <c r="A8" s="251" t="str">
        <v>EW-COL-EXT-C</v>
      </c>
      <c r="B8" s="252" t="str">
        <v>sash_exterior_color</v>
      </c>
      <c r="C8" s="252" t="str">
        <v>C</v>
      </c>
      <c r="D8" s="252" t="str">
        <v>シャイングレーM</v>
      </c>
      <c r="E8" s="252" t="str">
        <v>FREE</v>
      </c>
      <c r="F8" s="252" t="str">
        <v>サッシ外観色</v>
      </c>
      <c r="G8" s="252" t="str">
        <v>COMPLETE</v>
      </c>
      <c r="H8" s="253" t="str">
        <v>EW-EV-003,004</v>
      </c>
    </row>
    <row r="9">
      <c r="A9" s="251" t="str">
        <v>EW-COL-COV-C</v>
      </c>
      <c r="B9" s="252" t="str">
        <v>exterior_cover_color</v>
      </c>
      <c r="C9" s="252" t="str">
        <v>C</v>
      </c>
      <c r="D9" s="252" t="str">
        <v>シャイングレーM</v>
      </c>
      <c r="E9" s="252" t="str">
        <v>FREE</v>
      </c>
      <c r="F9" s="252" t="str">
        <v>化粧カバー</v>
      </c>
      <c r="G9" s="252" t="str">
        <v>COMPLETE</v>
      </c>
      <c r="H9" s="253" t="str">
        <v>EW-EV-003,004</v>
      </c>
    </row>
    <row r="10">
      <c r="A10" s="251" t="str">
        <v>EW-COL-EXT-F</v>
      </c>
      <c r="B10" s="252" t="str">
        <v>sash_exterior_color</v>
      </c>
      <c r="C10" s="252" t="str">
        <v>F</v>
      </c>
      <c r="D10" s="252" t="str">
        <v>ピュアホワイト</v>
      </c>
      <c r="E10" s="252" t="str">
        <v>FREE</v>
      </c>
      <c r="F10" s="252" t="str">
        <v>サッシ外観色</v>
      </c>
      <c r="G10" s="252" t="str">
        <v>COMPLETE</v>
      </c>
      <c r="H10" s="253" t="str">
        <v>EW-EV-003,004</v>
      </c>
    </row>
    <row r="11">
      <c r="A11" s="251" t="str">
        <v>EW-COL-COV-F</v>
      </c>
      <c r="B11" s="252" t="str">
        <v>exterior_cover_color</v>
      </c>
      <c r="C11" s="252" t="str">
        <v>F</v>
      </c>
      <c r="D11" s="252" t="str">
        <v>ピュアホワイト</v>
      </c>
      <c r="E11" s="252" t="str">
        <v>FREE</v>
      </c>
      <c r="F11" s="252" t="str">
        <v>化粧カバー</v>
      </c>
      <c r="G11" s="252" t="str">
        <v>COMPLETE</v>
      </c>
      <c r="H11" s="253" t="str">
        <v>EW-EV-003,004</v>
      </c>
    </row>
    <row r="12">
      <c r="A12" s="251" t="str">
        <v>EW-COL-INT-F</v>
      </c>
      <c r="B12" s="252" t="str">
        <v>sash_interior_color</v>
      </c>
      <c r="C12" s="252" t="str">
        <v>F</v>
      </c>
      <c r="D12" s="252" t="str">
        <v>ピュアホワイト</v>
      </c>
      <c r="E12" s="252" t="str">
        <v>FIXED</v>
      </c>
      <c r="F12" s="252" t="str">
        <v>サッシ内観色</v>
      </c>
      <c r="G12" s="252" t="str">
        <v>COMPLETE</v>
      </c>
      <c r="H12" s="253" t="str">
        <v>EW-EV-003,004</v>
      </c>
    </row>
    <row r="13">
      <c r="A13" s="254" t="str">
        <v>EW-COL-IC-F</v>
      </c>
      <c r="B13" s="255" t="str">
        <v>interior_resin_cover_color</v>
      </c>
      <c r="C13" s="255" t="str">
        <v>F</v>
      </c>
      <c r="D13" s="255" t="str">
        <v>ピュアホワイト</v>
      </c>
      <c r="E13" s="255" t="str">
        <v>FIXED</v>
      </c>
      <c r="F13" s="255" t="str">
        <v>室内樹脂カバー</v>
      </c>
      <c r="G13" s="255" t="str">
        <v>COMPLETE</v>
      </c>
      <c r="H13" s="256" t="str">
        <v>EW-EV-003,004</v>
      </c>
    </row>
    <row r="14">
      <c r="A14" s="184" t="inlineStr">
        <is>
          <t>RPL_EW-CASING-D</t>
        </is>
      </c>
      <c r="B14" s="185" t="inlineStr">
        <is>
          <t>wooden_casing_color</t>
        </is>
      </c>
      <c r="C14" s="185" t="inlineStr">
        <is>
          <t>D</t>
        </is>
      </c>
      <c r="D14" s="185" t="inlineStr">
        <is>
          <t>クリエダーク</t>
        </is>
      </c>
      <c r="E14" s="185" t="inlineStr">
        <is>
          <t>PART_ONLY</t>
        </is>
      </c>
      <c r="F14" s="185" t="inlineStr">
        <is>
          <t>木製ケーシング</t>
        </is>
      </c>
      <c r="G14" s="185" t="inlineStr">
        <is>
          <t>COMPLETE</t>
        </is>
      </c>
      <c r="H14" s="186" t="inlineStr">
        <is>
          <t>DELTA-CASING-EV-V4</t>
        </is>
      </c>
    </row>
    <row r="15">
      <c r="A15" s="184" t="inlineStr">
        <is>
          <t>RPL_EW-CASING-M</t>
        </is>
      </c>
      <c r="B15" s="185" t="inlineStr">
        <is>
          <t>wooden_casing_color</t>
        </is>
      </c>
      <c r="C15" s="185" t="inlineStr">
        <is>
          <t>M</t>
        </is>
      </c>
      <c r="D15" s="185" t="inlineStr">
        <is>
          <t>クリエモカ</t>
        </is>
      </c>
      <c r="E15" s="185" t="inlineStr">
        <is>
          <t>PART_ONLY</t>
        </is>
      </c>
      <c r="F15" s="185" t="inlineStr">
        <is>
          <t>木製ケーシング</t>
        </is>
      </c>
      <c r="G15" s="185" t="inlineStr">
        <is>
          <t>COMPLETE</t>
        </is>
      </c>
      <c r="H15" s="186" t="inlineStr">
        <is>
          <t>DELTA-CASING-EV-V4</t>
        </is>
      </c>
    </row>
    <row r="16">
      <c r="A16" s="184" t="inlineStr">
        <is>
          <t>RPL_EW-CASING-Y</t>
        </is>
      </c>
      <c r="B16" s="185" t="inlineStr">
        <is>
          <t>wooden_casing_color</t>
        </is>
      </c>
      <c r="C16" s="185" t="inlineStr">
        <is>
          <t>Y</t>
        </is>
      </c>
      <c r="D16" s="185" t="inlineStr">
        <is>
          <t>プレシャスホワイト</t>
        </is>
      </c>
      <c r="E16" s="185" t="inlineStr">
        <is>
          <t>PART_ONLY</t>
        </is>
      </c>
      <c r="F16" s="185" t="inlineStr">
        <is>
          <t>木製ケーシング</t>
        </is>
      </c>
      <c r="G16" s="185" t="inlineStr">
        <is>
          <t>COMPLETE</t>
        </is>
      </c>
      <c r="H16" s="186" t="inlineStr">
        <is>
          <t>DELTA-CASING-EV-V4</t>
        </is>
      </c>
    </row>
    <row r="17">
      <c r="A17" s="184" t="inlineStr">
        <is>
          <t>RPL_EW-CASING-AD</t>
        </is>
      </c>
      <c r="B17" s="185" t="inlineStr">
        <is>
          <t>wooden_casing_color</t>
        </is>
      </c>
      <c r="C17" s="185" t="inlineStr">
        <is>
          <t>AD</t>
        </is>
      </c>
      <c r="D17" s="185" t="inlineStr">
        <is>
          <t>クリエチェリー</t>
        </is>
      </c>
      <c r="E17" s="185" t="inlineStr">
        <is>
          <t>PART_ONLY</t>
        </is>
      </c>
      <c r="F17" s="185" t="inlineStr">
        <is>
          <t>木製ケーシング</t>
        </is>
      </c>
      <c r="G17" s="185" t="inlineStr">
        <is>
          <t>COMPLETE</t>
        </is>
      </c>
      <c r="H17" s="186" t="inlineStr">
        <is>
          <t>DELTA-CASING-EV-V4</t>
        </is>
      </c>
    </row>
    <row r="18">
      <c r="A18" s="184" t="inlineStr">
        <is>
          <t>RPL_EW-CASING-AC</t>
        </is>
      </c>
      <c r="B18" s="185" t="inlineStr">
        <is>
          <t>wooden_casing_color</t>
        </is>
      </c>
      <c r="C18" s="185" t="inlineStr">
        <is>
          <t>AC</t>
        </is>
      </c>
      <c r="D18" s="185" t="inlineStr">
        <is>
          <t>クリエオーク</t>
        </is>
      </c>
      <c r="E18" s="185" t="inlineStr">
        <is>
          <t>PART_ONLY</t>
        </is>
      </c>
      <c r="F18" s="185" t="inlineStr">
        <is>
          <t>木製ケーシング</t>
        </is>
      </c>
      <c r="G18" s="185" t="inlineStr">
        <is>
          <t>COMPLETE</t>
        </is>
      </c>
      <c r="H18" s="186" t="inlineStr">
        <is>
          <t>DELTA-CASING-EV-V4</t>
        </is>
      </c>
    </row>
    <row r="19">
      <c r="A19" s="184" t="inlineStr">
        <is>
          <t>RPL_EW-CASING-WA</t>
        </is>
      </c>
      <c r="B19" s="185" t="inlineStr">
        <is>
          <t>wooden_casing_color</t>
        </is>
      </c>
      <c r="C19" s="185" t="inlineStr">
        <is>
          <t>WA</t>
        </is>
      </c>
      <c r="D19" s="185" t="inlineStr">
        <is>
          <t>クリエアイボリー</t>
        </is>
      </c>
      <c r="E19" s="185" t="inlineStr">
        <is>
          <t>PART_ONLY</t>
        </is>
      </c>
      <c r="F19" s="185" t="inlineStr">
        <is>
          <t>木製ケーシング</t>
        </is>
      </c>
      <c r="G19" s="185" t="inlineStr">
        <is>
          <t>COMPLETE</t>
        </is>
      </c>
      <c r="H19" s="186" t="inlineStr">
        <is>
          <t>DELTA-CASING-EV-V4</t>
        </is>
      </c>
    </row>
    <row r="20">
      <c r="A20" s="184"/>
      <c r="B20" s="185"/>
      <c r="C20" s="185"/>
      <c r="D20" s="185"/>
      <c r="E20" s="185"/>
      <c r="F20" s="185"/>
      <c r="G20" s="185"/>
      <c r="H20" s="186"/>
    </row>
    <row r="21">
      <c r="A21" s="184"/>
      <c r="B21" s="185"/>
      <c r="C21" s="185"/>
      <c r="D21" s="185"/>
      <c r="E21" s="185"/>
      <c r="F21" s="185"/>
      <c r="G21" s="185"/>
      <c r="H21" s="186"/>
    </row>
    <row r="22">
      <c r="A22" s="184"/>
      <c r="B22" s="185"/>
      <c r="C22" s="185"/>
      <c r="D22" s="185"/>
      <c r="E22" s="185"/>
      <c r="F22" s="185"/>
      <c r="G22" s="185"/>
      <c r="H22" s="186"/>
    </row>
    <row r="23">
      <c r="A23" s="187"/>
      <c r="B23" s="188"/>
      <c r="C23" s="188"/>
      <c r="D23" s="188"/>
      <c r="E23" s="188"/>
      <c r="F23" s="188"/>
      <c r="G23" s="188"/>
      <c r="H23" s="189"/>
    </row>
    <row r="24">
      <c r="A24" s="35"/>
      <c r="B24" s="36"/>
      <c r="C24" s="36"/>
      <c r="D24" s="36"/>
      <c r="E24" s="36"/>
      <c r="F24" s="36"/>
      <c r="G24" s="36"/>
      <c r="H24" s="37"/>
    </row>
    <row r="25">
      <c r="A25" s="35"/>
      <c r="B25" s="36"/>
      <c r="C25" s="36"/>
      <c r="D25" s="36"/>
      <c r="E25" s="36"/>
      <c r="F25" s="36"/>
      <c r="G25" s="36"/>
      <c r="H25" s="37"/>
    </row>
    <row r="26">
      <c r="A26" s="35"/>
      <c r="B26" s="36"/>
      <c r="C26" s="36"/>
      <c r="D26" s="36"/>
      <c r="E26" s="36"/>
      <c r="F26" s="36"/>
      <c r="G26" s="36"/>
      <c r="H26" s="37"/>
    </row>
    <row r="27">
      <c r="A27" s="35"/>
      <c r="B27" s="36"/>
      <c r="C27" s="36"/>
      <c r="D27" s="36"/>
      <c r="E27" s="36"/>
      <c r="F27" s="36"/>
      <c r="G27" s="36"/>
      <c r="H27" s="37"/>
    </row>
    <row r="28">
      <c r="A28" s="35"/>
      <c r="B28" s="36"/>
      <c r="C28" s="36"/>
      <c r="D28" s="36"/>
      <c r="E28" s="36"/>
      <c r="F28" s="36"/>
      <c r="G28" s="36"/>
      <c r="H28" s="37"/>
    </row>
    <row r="29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</mergeCells>
  <pageMargins left="0.7" right="0.7" top="0.75" bottom="0.75" header="0.3" footer="0.3"/>
</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2" hidden="0" customWidth="1"/>
    <x:col min="5" max="5" width="24" hidden="0" customWidth="1"/>
    <x:col min="6" max="6" width="24" hidden="0" customWidth="1"/>
    <x:col min="7" max="7" width="34" hidden="0" customWidth="1"/>
    <x:col min="8" max="8" width="58" hidden="0" customWidth="1"/>
    <x:col min="9" max="9" width="18" hidden="0" customWidth="1"/>
    <x:col min="10" max="10" width="20" hidden="0" customWidth="1"/>
  </x:cols>
  <x:sheetData>
    <x:row r="1" ht="28" customHeight="1">
      <x:c r="A1" s="243" t="str">
        <x:v>06A_色適用条件｜EWタイプ</x:v>
      </x:c>
      <x:c r="B1" s="243"/>
      <x:c r="C1" s="243"/>
      <x:c r="D1" s="243"/>
      <x:c r="E1" s="243"/>
      <x:c r="F1" s="243"/>
      <x:c r="G1" s="243"/>
      <x:c r="H1" s="243"/>
      <x:c r="I1" s="243"/>
      <x:c r="J1" s="243"/>
    </x:row>
    <x:row r="3" ht="30" customHeight="1">
      <x:c r="A3" s="248" t="str">
        <x:v>rule_id</x:v>
      </x:c>
      <x:c r="B3" s="249" t="str">
        <x:v>variation_id</x:v>
      </x:c>
      <x:c r="C3" s="249" t="str">
        <x:v>color_mode</x:v>
      </x:c>
      <x:c r="D3" s="249" t="str">
        <x:v>sash_exterior</x:v>
      </x:c>
      <x:c r="E3" s="249" t="str">
        <x:v>sash_interior</x:v>
      </x:c>
      <x:c r="F3" s="249" t="str">
        <x:v>exterior_cover</x:v>
      </x:c>
      <x:c r="G3" s="249" t="str">
        <x:v>interior_cover</x:v>
      </x:c>
      <x:c r="H3" s="249" t="str">
        <x:v>rule</x:v>
      </x:c>
      <x:c r="I3" s="249" t="str">
        <x:v>status</x:v>
      </x:c>
      <x:c r="J3" s="250" t="str">
        <x:v>evidence</x:v>
      </x:c>
    </x:row>
    <x:row r="4">
      <x:c r="A4" s="254" t="str">
        <x:v>EW-CM-001</x:v>
      </x:c>
      <x:c r="B4" s="255" t="str">
        <x:v>RPL_EW</x:v>
      </x:c>
      <x:c r="C4" s="255" t="str">
        <x:v>EXT_FREE_INT_FIXED</x:v>
      </x:c>
      <x:c r="D4" s="255" t="str">
        <x:v>外観4色</x:v>
      </x:c>
      <x:c r="E4" s="255" t="str">
        <x:v>ピュアホワイト固定</x:v>
      </x:c>
      <x:c r="F4" s="255" t="str">
        <x:v>化粧カバー4色</x:v>
      </x:c>
      <x:c r="G4" s="255" t="str">
        <x:v>室内樹脂カバー=ピュアホワイト</x:v>
      </x:c>
      <x:c r="H4" s="255" t="str">
        <x:v>外観は4色から選択、内観は白固定</x:v>
      </x:c>
      <x:c r="I4" s="255" t="str">
        <x:v>COMPLETE</x:v>
      </x:c>
      <x:c r="J4" s="256" t="str">
        <x:v>EW-EV-003,004</x:v>
      </x:c>
    </x:row>
    <x:row r="5">
      <x:c r="A5" s="38"/>
      <x:c r="B5" s="39"/>
      <x:c r="C5" s="39"/>
      <x:c r="D5" s="39"/>
      <x:c r="E5" s="39"/>
      <x:c r="F5" s="39"/>
      <x:c r="G5" s="39"/>
      <x:c r="H5" s="39"/>
      <x:c r="I5" s="40"/>
    </x:row>
  </x:sheetData>
  <x:mergeCells>
    <x:mergeCell ref="A1:I1"/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50" hidden="0" customWidth="1"/>
    <x:col min="6" max="6" width="34" hidden="0" customWidth="1"/>
    <x:col min="7" max="7" width="18" hidden="0" customWidth="1"/>
    <x:col min="8" max="8" width="22" hidden="0" customWidth="1"/>
    <x:col min="9" max="9" width="18" hidden="0" customWidth="1"/>
  </x:cols>
  <x:sheetData>
    <x:row r="1" ht="28" customHeight="1">
      <x:c r="A1" s="243" t="str">
        <x:v>07_網戸｜EWタイプ</x:v>
      </x:c>
      <x:c r="B1" s="243"/>
      <x:c r="C1" s="243"/>
      <x:c r="D1" s="243"/>
      <x:c r="E1" s="243"/>
      <x:c r="F1" s="243"/>
      <x:c r="G1" s="243"/>
      <x:c r="H1" s="243"/>
      <x:c r="I1" s="127"/>
    </x:row>
    <x:row r="2" ht="38" customHeight="1">
      <x:c r="A2" s="244" t="str">
        <x:v>EWタイプは引違い網戸のみ。TWタイプの中桟付/無の選択軸は流用しない。セレクト障子は室内側障子にのみ網戸使用可。</x:v>
      </x:c>
      <x:c r="B2" s="244"/>
      <x:c r="C2" s="244"/>
      <x:c r="D2" s="244"/>
      <x:c r="E2" s="244"/>
      <x:c r="F2" s="244"/>
      <x:c r="G2" s="244"/>
      <x:c r="H2" s="244"/>
      <x:c r="I2" s="133"/>
    </x:row>
    <x:row r="3">
      <x:c r="A3" s="181"/>
      <x:c r="B3" s="182"/>
      <x:c r="C3" s="182"/>
      <x:c r="D3" s="182"/>
      <x:c r="E3" s="182"/>
      <x:c r="F3" s="182"/>
      <x:c r="G3" s="182"/>
      <x:c r="H3" s="183"/>
    </x:row>
    <x:row r="4" ht="30" customHeight="1">
      <x:c r="A4" s="281" t="str">
        <x:v>screen_id</x:v>
      </x:c>
      <x:c r="B4" s="282" t="str">
        <x:v>公式名称</x:v>
      </x:c>
      <x:c r="C4" s="282" t="str">
        <x:v>screen_type</x:v>
      </x:c>
      <x:c r="D4" s="282" t="str">
        <x:v>middle_bar</x:v>
      </x:c>
      <x:c r="E4" s="282" t="str">
        <x:v>mesh_options</x:v>
      </x:c>
      <x:c r="F4" s="282" t="str">
        <x:v>適用</x:v>
      </x:c>
      <x:c r="G4" s="282" t="str">
        <x:v>status</x:v>
      </x:c>
      <x:c r="H4" s="283" t="str">
        <x:v>evidence</x:v>
      </x:c>
      <x:c r="I4" s="143"/>
    </x:row>
    <x:row r="5">
      <x:c r="A5" s="251" t="str">
        <x:v>EW-SCR-NONE</x:v>
      </x:c>
      <x:c r="B5" s="252" t="str">
        <x:v>なし</x:v>
      </x:c>
      <x:c r="C5" s="252" t="str">
        <x:v>NONE</x:v>
      </x:c>
      <x:c r="D5" s="252" t="str">
        <x:v>—</x:v>
      </x:c>
      <x:c r="E5" s="252" t="str">
        <x:v>—</x:v>
      </x:c>
      <x:c r="F5" s="252" t="str">
        <x:v>全サイズ</x:v>
      </x:c>
      <x:c r="G5" s="252" t="str">
        <x:v>COMPLETE</x:v>
      </x:c>
      <x:c r="H5" s="253" t="str">
        <x:v>EW-EV-005,011</x:v>
      </x:c>
      <x:c r="I5" s="146"/>
    </x:row>
    <x:row r="6">
      <x:c r="A6" s="254" t="str">
        <x:v>EW-SCR-SLIDING</x:v>
      </x:c>
      <x:c r="B6" s="255" t="str">
        <x:v>引違い網戸</x:v>
      </x:c>
      <x:c r="C6" s="255" t="str">
        <x:v>SLIDING</x:v>
      </x:c>
      <x:c r="D6" s="255" t="str">
        <x:v>NOT_APPLICABLE</x:v>
      </x:c>
      <x:c r="E6" s="255" t="str">
        <x:v>標準/きれい/虫イヤ/ペット</x:v>
      </x:c>
      <x:c r="F6" s="255" t="str">
        <x:v>全サイズ（製作範囲内）</x:v>
      </x:c>
      <x:c r="G6" s="255" t="str">
        <x:v>COMPLETE</x:v>
      </x:c>
      <x:c r="H6" s="256" t="str">
        <x:v>EW-EV-004,005,011</x:v>
      </x:c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7"/>
      <x:c r="B11" s="148"/>
      <x:c r="C11" s="148"/>
      <x:c r="D11" s="148"/>
      <x:c r="E11" s="148"/>
      <x:c r="F11" s="148"/>
      <x:c r="G11" s="148"/>
      <x:c r="H11" s="148"/>
      <x:c r="I11" s="149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2:H2"/>
    <x:mergeCell ref="A1:I1"/>
    <x:mergeCell ref="A2:I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54" hidden="0" customWidth="1"/>
    <x:col min="5" max="5" width="24" hidden="0" customWidth="1"/>
    <x:col min="6" max="6" width="70" hidden="0" customWidth="1"/>
    <x:col min="7" max="7" width="18" hidden="0" customWidth="1"/>
    <x:col min="8" max="8" width="22" hidden="0" customWidth="1"/>
    <x:col min="9" max="9" width="18" hidden="0" customWidth="1"/>
  </x:cols>
  <x:sheetData>
    <x:row r="1" ht="28" customHeight="1">
      <x:c r="A1" s="243" t="str">
        <x:v>07A_網戸適用条件｜EWタイプ</x:v>
      </x:c>
      <x:c r="B1" s="243"/>
      <x:c r="C1" s="243"/>
      <x:c r="D1" s="243"/>
      <x:c r="E1" s="243"/>
      <x:c r="F1" s="243"/>
      <x:c r="G1" s="243"/>
      <x:c r="H1" s="243"/>
      <x:c r="I1" s="127"/>
    </x:row>
    <x:row r="3" ht="30" customHeight="1">
      <x:c r="A3" s="248" t="str">
        <x:v>rule_id</x:v>
      </x:c>
      <x:c r="B3" s="249" t="str">
        <x:v>window_type_id</x:v>
      </x:c>
      <x:c r="C3" s="249" t="str">
        <x:v>screen_id</x:v>
      </x:c>
      <x:c r="D3" s="249" t="str">
        <x:v>condition</x:v>
      </x:c>
      <x:c r="E3" s="249" t="str">
        <x:v>ui_action</x:v>
      </x:c>
      <x:c r="F3" s="249" t="str">
        <x:v>note</x:v>
      </x:c>
      <x:c r="G3" s="249" t="str">
        <x:v>status</x:v>
      </x:c>
      <x:c r="H3" s="250" t="str">
        <x:v>evidence</x:v>
      </x:c>
      <x:c r="I3" s="143"/>
    </x:row>
    <x:row r="4">
      <x:c r="A4" s="251" t="str">
        <x:v>EW-SC-001</x:v>
      </x:c>
      <x:c r="B4" s="252" t="str">
        <x:v>RPL_EW_SLD</x:v>
      </x:c>
      <x:c r="C4" s="252" t="str">
        <x:v>EW-SCR-NONE</x:v>
      </x:c>
      <x:c r="D4" s="252" t="str">
        <x:v>ANY</x:v>
      </x:c>
      <x:c r="E4" s="252" t="str">
        <x:v>SHOW</x:v>
      </x:c>
      <x:c r="F4" s="252" t="str">
        <x:v>—</x:v>
      </x:c>
      <x:c r="G4" s="252" t="str">
        <x:v>COMPLETE</x:v>
      </x:c>
      <x:c r="H4" s="253" t="str">
        <x:v>EW-EV-005,011</x:v>
      </x:c>
      <x:c r="I4" s="146"/>
    </x:row>
    <x:row r="5">
      <x:c r="A5" s="251" t="str">
        <x:v>EW-SC-002</x:v>
      </x:c>
      <x:c r="B5" s="252" t="str">
        <x:v>RPL_EW_SLD</x:v>
      </x:c>
      <x:c r="C5" s="252" t="str">
        <x:v>EW-SCR-SLIDING</x:v>
      </x:c>
      <x:c r="D5" s="252" t="str">
        <x:v>ANY</x:v>
      </x:c>
      <x:c r="E5" s="252" t="str">
        <x:v>SHOW</x:v>
      </x:c>
      <x:c r="F5" s="252" t="str">
        <x:v>4ネット選択</x:v>
      </x:c>
      <x:c r="G5" s="252" t="str">
        <x:v>COMPLETE</x:v>
      </x:c>
      <x:c r="H5" s="253" t="str">
        <x:v>EW-EV-004,005,011</x:v>
      </x:c>
      <x:c r="I5" s="146"/>
    </x:row>
    <x:row r="6">
      <x:c r="A6" s="254" t="str">
        <x:v>EW-SC-003</x:v>
      </x:c>
      <x:c r="B6" s="255" t="str">
        <x:v>RPL_EW_SLD</x:v>
      </x:c>
      <x:c r="C6" s="255" t="str">
        <x:v>EW-SCR-SLIDING</x:v>
      </x:c>
      <x:c r="D6" s="255" t="str">
        <x:v>sash_configuration IN (PGセレクト障子,TGセレクト障子)</x:v>
      </x:c>
      <x:c r="E6" s="255" t="str">
        <x:v>SHOW_WITH_NOTE</x:v>
      </x:c>
      <x:c r="F6" s="255" t="str">
        <x:v>セレクト障子は室内側障子にのみ網戸使用可</x:v>
      </x:c>
      <x:c r="G6" s="255" t="str">
        <x:v>COMPLETE</x:v>
      </x:c>
      <x:c r="H6" s="256" t="str">
        <x:v>EW-EV-005</x:v>
      </x:c>
      <x:c r="I6" s="146"/>
    </x:row>
    <x:row r="7">
      <x:c r="A7" s="187"/>
      <x:c r="B7" s="188"/>
      <x:c r="C7" s="188"/>
      <x:c r="D7" s="188"/>
      <x:c r="E7" s="188"/>
      <x:c r="F7" s="188"/>
      <x:c r="G7" s="188"/>
      <x:c r="H7" s="189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7"/>
      <x:c r="B13" s="148"/>
      <x:c r="C13" s="148"/>
      <x:c r="D13" s="148"/>
      <x:c r="E13" s="148"/>
      <x:c r="F13" s="148"/>
      <x:c r="G13" s="148"/>
      <x:c r="H13" s="148"/>
      <x:c r="I13" s="149"/>
    </x:row>
  </x:sheetData>
  <x:mergeCells>
    <x:mergeCell ref="A1:H1"/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24" hidden="0" customWidth="1"/>
    <x:col min="4" max="4" width="28" hidden="0" customWidth="1"/>
    <x:col min="5" max="5" width="50" hidden="0" customWidth="1"/>
    <x:col min="6" max="6" width="30" hidden="0" customWidth="1"/>
    <x:col min="7" max="7" width="22" hidden="0" customWidth="1"/>
    <x:col min="8" max="8" width="18" hidden="0" customWidth="1"/>
  </x:cols>
  <x:sheetData>
    <x:row r="1" ht="28" customHeight="1">
      <x:c r="A1" s="243" t="str">
        <x:v>08_ガラス｜EWタイプ</x:v>
      </x:c>
      <x:c r="B1" s="243"/>
      <x:c r="C1" s="243"/>
      <x:c r="D1" s="243"/>
      <x:c r="E1" s="243"/>
      <x:c r="F1" s="243"/>
      <x:c r="G1" s="243"/>
      <x:c r="H1" s="127"/>
    </x:row>
    <x:row r="2" ht="38" customHeight="1">
      <x:c r="A2" s="244" t="str">
        <x:v>ガラス大分類は障子仕様と連動。ガス=アルゴン、スペーサー=樹脂は自動解決。地域限定ブロンズは北海道・東北のみ。</x:v>
      </x:c>
      <x:c r="B2" s="244"/>
      <x:c r="C2" s="244"/>
      <x:c r="D2" s="244"/>
      <x:c r="E2" s="244"/>
      <x:c r="F2" s="244"/>
      <x:c r="G2" s="244"/>
      <x:c r="H2" s="130"/>
    </x:row>
    <x:row r="4" ht="30" customHeight="1">
      <x:c r="A4" s="248" t="str">
        <x:v>glass_id</x:v>
      </x:c>
      <x:c r="B4" s="249" t="str">
        <x:v>公式名称</x:v>
      </x:c>
      <x:c r="C4" s="249" t="str">
        <x:v>glass_axis</x:v>
      </x:c>
      <x:c r="D4" s="249" t="str">
        <x:v>detail</x:v>
      </x:c>
      <x:c r="E4" s="249" t="str">
        <x:v>適用/条件</x:v>
      </x:c>
      <x:c r="F4" s="249" t="str">
        <x:v>status</x:v>
      </x:c>
      <x:c r="G4" s="250" t="str">
        <x:v>evidence</x:v>
      </x:c>
      <x:c r="H4" s="143"/>
    </x:row>
    <x:row r="5">
      <x:c r="A5" s="251" t="str">
        <x:v>EW-GL-DOUBLE</x:v>
      </x:c>
      <x:c r="B5" s="252" t="str">
        <x:v>Low-E複層ガラス</x:v>
      </x:c>
      <x:c r="C5" s="252" t="str">
        <x:v>LOW_E_DOUBLE</x:v>
      </x:c>
      <x:c r="D5" s="252" t="str">
        <x:v>固定</x:v>
      </x:c>
      <x:c r="E5" s="252" t="str">
        <x:v>PG/PGセレクト</x:v>
      </x:c>
      <x:c r="F5" s="252" t="str">
        <x:v>COMPLETE</x:v>
      </x:c>
      <x:c r="G5" s="253" t="str">
        <x:v>EW-EV-004,008</x:v>
      </x:c>
      <x:c r="H5" s="146"/>
    </x:row>
    <x:row r="6">
      <x:c r="A6" s="251" t="str">
        <x:v>EW-GL-TRIPLE</x:v>
      </x:c>
      <x:c r="B6" s="252" t="str">
        <x:v>Low-Eトリプルガラス</x:v>
      </x:c>
      <x:c r="C6" s="252" t="str">
        <x:v>TRIPLE</x:v>
      </x:c>
      <x:c r="D6" s="252" t="str">
        <x:v>固定</x:v>
      </x:c>
      <x:c r="E6" s="252" t="str">
        <x:v>TG/TGセレクト</x:v>
      </x:c>
      <x:c r="F6" s="252" t="str">
        <x:v>COMPLETE</x:v>
      </x:c>
      <x:c r="G6" s="253" t="str">
        <x:v>EW-EV-004,008</x:v>
      </x:c>
      <x:c r="H6" s="146"/>
    </x:row>
    <x:row r="7">
      <x:c r="A7" s="251" t="str">
        <x:v>EW-D-CLEAR</x:v>
      </x:c>
      <x:c r="B7" s="252" t="str">
        <x:v>クリア</x:v>
      </x:c>
      <x:c r="C7" s="252" t="str">
        <x:v>DOUBLE_LOW_E_COLOR</x:v>
      </x:c>
      <x:c r="D7" s="252" t="str">
        <x:v>—</x:v>
      </x:c>
      <x:c r="E7" s="252" t="str">
        <x:v>全国</x:v>
      </x:c>
      <x:c r="F7" s="252" t="str">
        <x:v>COMPLETE</x:v>
      </x:c>
      <x:c r="G7" s="253" t="str">
        <x:v>EW-EV-004,008</x:v>
      </x:c>
      <x:c r="H7" s="146"/>
    </x:row>
    <x:row r="8">
      <x:c r="A8" s="251" t="str">
        <x:v>EW-D-GREEN</x:v>
      </x:c>
      <x:c r="B8" s="252" t="str">
        <x:v>グリーン</x:v>
      </x:c>
      <x:c r="C8" s="252" t="str">
        <x:v>DOUBLE_LOW_E_COLOR</x:v>
      </x:c>
      <x:c r="D8" s="252" t="str">
        <x:v>—</x:v>
      </x:c>
      <x:c r="E8" s="252" t="str">
        <x:v>全国</x:v>
      </x:c>
      <x:c r="F8" s="252" t="str">
        <x:v>COMPLETE</x:v>
      </x:c>
      <x:c r="G8" s="253" t="str">
        <x:v>EW-EV-004,008</x:v>
      </x:c>
      <x:c r="H8" s="146"/>
    </x:row>
    <x:row r="9">
      <x:c r="A9" s="251" t="str">
        <x:v>EW-D-GREEN-HS</x:v>
      </x:c>
      <x:c r="B9" s="252" t="str">
        <x:v>グリーン（高遮熱仕様）</x:v>
      </x:c>
      <x:c r="C9" s="252" t="str">
        <x:v>DOUBLE_LOW_E_COLOR</x:v>
      </x:c>
      <x:c r="D9" s="252" t="str">
        <x:v>—</x:v>
      </x:c>
      <x:c r="E9" s="252" t="str">
        <x:v>全国</x:v>
      </x:c>
      <x:c r="F9" s="252" t="str">
        <x:v>COMPLETE</x:v>
      </x:c>
      <x:c r="G9" s="253" t="str">
        <x:v>EW-EV-004,008</x:v>
      </x:c>
      <x:c r="H9" s="146"/>
    </x:row>
    <x:row r="10">
      <x:c r="A10" s="251" t="str">
        <x:v>EW-D-BRONZE</x:v>
      </x:c>
      <x:c r="B10" s="252" t="str">
        <x:v>ブロンズ</x:v>
      </x:c>
      <x:c r="C10" s="252" t="str">
        <x:v>DOUBLE_LOW_E_COLOR</x:v>
      </x:c>
      <x:c r="D10" s="252" t="str">
        <x:v>—</x:v>
      </x:c>
      <x:c r="E10" s="252" t="str">
        <x:v>北海道・東北限定</x:v>
      </x:c>
      <x:c r="F10" s="252" t="str">
        <x:v>COMPLETE</x:v>
      </x:c>
      <x:c r="G10" s="253" t="str">
        <x:v>EW-EV-004,008</x:v>
      </x:c>
      <x:c r="H10" s="146"/>
    </x:row>
    <x:row r="11">
      <x:c r="A11" s="251" t="str">
        <x:v>EW-T-CC</x:v>
      </x:c>
      <x:c r="B11" s="252" t="str">
        <x:v>クリア×クリア</x:v>
      </x:c>
      <x:c r="C11" s="252" t="str">
        <x:v>TRIPLE_LOW_E_COLOR</x:v>
      </x:c>
      <x:c r="D11" s="252" t="str">
        <x:v>ダブルLow-E</x:v>
      </x:c>
      <x:c r="E11" s="252" t="str">
        <x:v>全国</x:v>
      </x:c>
      <x:c r="F11" s="252" t="str">
        <x:v>COMPLETE</x:v>
      </x:c>
      <x:c r="G11" s="253" t="str">
        <x:v>EW-EV-004,008</x:v>
      </x:c>
      <x:c r="H11" s="149"/>
    </x:row>
    <x:row r="12">
      <x:c r="A12" s="251" t="str">
        <x:v>EW-T-GG</x:v>
      </x:c>
      <x:c r="B12" s="252" t="str">
        <x:v>グリーン×グリーン</x:v>
      </x:c>
      <x:c r="C12" s="252" t="str">
        <x:v>TRIPLE_LOW_E_COLOR</x:v>
      </x:c>
      <x:c r="D12" s="252" t="str">
        <x:v>ダブルLow-E</x:v>
      </x:c>
      <x:c r="E12" s="252" t="str">
        <x:v>全国</x:v>
      </x:c>
      <x:c r="F12" s="252" t="str">
        <x:v>COMPLETE</x:v>
      </x:c>
      <x:c r="G12" s="253" t="str">
        <x:v>EW-EV-004,008</x:v>
      </x:c>
    </x:row>
    <x:row r="13">
      <x:c r="A13" s="251" t="str">
        <x:v>EW-T-CG</x:v>
      </x:c>
      <x:c r="B13" s="252" t="str">
        <x:v>クリア×グリーン</x:v>
      </x:c>
      <x:c r="C13" s="252" t="str">
        <x:v>TRIPLE_LOW_E_COLOR</x:v>
      </x:c>
      <x:c r="D13" s="252" t="str">
        <x:v>ダブルLow-E</x:v>
      </x:c>
      <x:c r="E13" s="252" t="str">
        <x:v>全国</x:v>
      </x:c>
      <x:c r="F13" s="252" t="str">
        <x:v>COMPLETE</x:v>
      </x:c>
      <x:c r="G13" s="253" t="str">
        <x:v>EW-EV-004,008</x:v>
      </x:c>
    </x:row>
    <x:row r="14">
      <x:c r="A14" s="251" t="str">
        <x:v>EW-T-CB</x:v>
      </x:c>
      <x:c r="B14" s="252" t="str">
        <x:v>クリア×ブロンズ</x:v>
      </x:c>
      <x:c r="C14" s="252" t="str">
        <x:v>TRIPLE_LOW_E_COLOR</x:v>
      </x:c>
      <x:c r="D14" s="252" t="str">
        <x:v>ダブルLow-E</x:v>
      </x:c>
      <x:c r="E14" s="252" t="str">
        <x:v>北海道・東北限定</x:v>
      </x:c>
      <x:c r="F14" s="252" t="str">
        <x:v>COMPLETE</x:v>
      </x:c>
      <x:c r="G14" s="253" t="str">
        <x:v>EW-EV-004,008</x:v>
      </x:c>
    </x:row>
    <x:row r="15">
      <x:c r="A15" s="251" t="str">
        <x:v>EW-T-GENERAL-CLEAR</x:v>
      </x:c>
      <x:c r="B15" s="252" t="str">
        <x:v>一般×クリア</x:v>
      </x:c>
      <x:c r="C15" s="252" t="str">
        <x:v>TRIPLE_LOW_E_COLOR</x:v>
      </x:c>
      <x:c r="D15" s="252" t="str">
        <x:v>室内側のみLow-E</x:v>
      </x:c>
      <x:c r="E15" s="252" t="str">
        <x:v>見積システムでガラス構成可否確認</x:v>
      </x:c>
      <x:c r="F15" s="252" t="str">
        <x:v>COMPLETE_WITH_EXTERNAL_CHECK</x:v>
      </x:c>
      <x:c r="G15" s="253" t="str">
        <x:v>EW-EV-008</x:v>
      </x:c>
    </x:row>
    <x:row r="16">
      <x:c r="A16" s="251" t="str">
        <x:v>EW-GAS-ARGON</x:v>
      </x:c>
      <x:c r="B16" s="252" t="str">
        <x:v>アルゴンガス</x:v>
      </x:c>
      <x:c r="C16" s="252" t="str">
        <x:v>GAS_TYPE</x:v>
      </x:c>
      <x:c r="D16" s="252" t="str">
        <x:v>AUTO_RESOLVED</x:v>
      </x:c>
      <x:c r="E16" s="252" t="str">
        <x:v>全ガラス</x:v>
      </x:c>
      <x:c r="F16" s="252" t="str">
        <x:v>COMPLETE</x:v>
      </x:c>
      <x:c r="G16" s="253" t="str">
        <x:v>EW-EV-005,008</x:v>
      </x:c>
    </x:row>
    <x:row r="17">
      <x:c r="A17" s="251" t="str">
        <x:v>EW-SPACER-RESIN</x:v>
      </x:c>
      <x:c r="B17" s="252" t="str">
        <x:v>樹脂スペーサー</x:v>
      </x:c>
      <x:c r="C17" s="252" t="str">
        <x:v>SPACER</x:v>
      </x:c>
      <x:c r="D17" s="252" t="str">
        <x:v>AUTO_RESOLVED</x:v>
      </x:c>
      <x:c r="E17" s="252" t="str">
        <x:v>全ガラス</x:v>
      </x:c>
      <x:c r="F17" s="252" t="str">
        <x:v>COMPLETE</x:v>
      </x:c>
      <x:c r="G17" s="253" t="str">
        <x:v>EW-EV-005,008</x:v>
      </x:c>
    </x:row>
    <x:row r="18">
      <x:c r="A18" s="251" t="str">
        <x:v>EW-FUNC-SAFETY</x:v>
      </x:c>
      <x:c r="B18" s="252" t="str">
        <x:v>安全合わせ</x:v>
      </x:c>
      <x:c r="C18" s="252" t="str">
        <x:v>GLASS_FUNCTION</x:v>
      </x:c>
      <x:c r="D18" s="252" t="str">
        <x:v>—</x:v>
      </x:c>
      <x:c r="E18" s="252" t="str">
        <x:v>対応範囲内</x:v>
      </x:c>
      <x:c r="F18" s="252" t="str">
        <x:v>COMPLETE_WITH_EXTERNAL_CHECK</x:v>
      </x:c>
      <x:c r="G18" s="253" t="str">
        <x:v>EW-EV-008,012</x:v>
      </x:c>
    </x:row>
    <x:row r="19">
      <x:c r="A19" s="251" t="str">
        <x:v>EW-FUNC-FROST</x:v>
      </x:c>
      <x:c r="B19" s="252" t="str">
        <x:v>フロスト/型板</x:v>
      </x:c>
      <x:c r="C19" s="252" t="str">
        <x:v>GLASS_FUNCTION</x:v>
      </x:c>
      <x:c r="D19" s="252" t="str">
        <x:v>—</x:v>
      </x:c>
      <x:c r="E19" s="252" t="str">
        <x:v>対応範囲内</x:v>
      </x:c>
      <x:c r="F19" s="252" t="str">
        <x:v>COMPLETE_WITH_EXTERNAL_CHECK</x:v>
      </x:c>
      <x:c r="G19" s="253" t="str">
        <x:v>EW-EV-008,012</x:v>
      </x:c>
    </x:row>
    <x:row r="20">
      <x:c r="A20" s="251" t="str">
        <x:v>EW-FUNC-MILKY</x:v>
      </x:c>
      <x:c r="B20" s="252" t="str">
        <x:v>安全合わせ乳白</x:v>
      </x:c>
      <x:c r="C20" s="252" t="str">
        <x:v>GLASS_FUNCTION</x:v>
      </x:c>
      <x:c r="D20" s="252" t="str">
        <x:v>—</x:v>
      </x:c>
      <x:c r="E20" s="252" t="str">
        <x:v>対応範囲内</x:v>
      </x:c>
      <x:c r="F20" s="252" t="str">
        <x:v>COMPLETE_WITH_EXTERNAL_CHECK</x:v>
      </x:c>
      <x:c r="G20" s="253" t="str">
        <x:v>EW-EV-008,012</x:v>
      </x:c>
    </x:row>
    <x:row r="21">
      <x:c r="A21" s="254" t="str">
        <x:v>EW-FUNC-THIN</x:v>
      </x:c>
      <x:c r="B21" s="255" t="str">
        <x:v>特殊薄板合わせ</x:v>
      </x:c>
      <x:c r="C21" s="255" t="str">
        <x:v>GLASS_FUNCTION</x:v>
      </x:c>
      <x:c r="D21" s="255" t="str">
        <x:v>—</x:v>
      </x:c>
      <x:c r="E21" s="255" t="str">
        <x:v>トリプル等対応範囲内</x:v>
      </x:c>
      <x:c r="F21" s="255" t="str">
        <x:v>COMPLETE_WITH_EXTERNAL_CHECK</x:v>
      </x:c>
      <x:c r="G21" s="256" t="str">
        <x:v>EW-EV-008,012</x:v>
      </x:c>
    </x:row>
  </x:sheetData>
  <x:mergeCells>
    <x:mergeCell ref="A1:H1"/>
    <x:mergeCell ref="A2:H2"/>
    <x:mergeCell ref="A1:G1"/>
    <x:mergeCell ref="A2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14" hidden="0" customWidth="1"/>
    <x:col min="5" max="5" width="54" hidden="0" customWidth="1"/>
    <x:col min="6" max="6" width="24" hidden="0" customWidth="1"/>
    <x:col min="7" max="7" width="30" hidden="0" customWidth="1"/>
    <x:col min="8" max="8" width="22" hidden="0" customWidth="1"/>
  </x:cols>
  <x:sheetData>
    <x:row r="1" ht="28" customHeight="1">
      <x:c r="A1" s="243" t="str">
        <x:v>08A_ガラス適用条件｜EWタイプ</x:v>
      </x:c>
      <x:c r="B1" s="243"/>
      <x:c r="C1" s="243"/>
      <x:c r="D1" s="243"/>
      <x:c r="E1" s="243"/>
      <x:c r="F1" s="243"/>
      <x:c r="G1" s="243"/>
      <x:c r="H1" s="243"/>
    </x:row>
    <x:row r="3" ht="30" customHeight="1">
      <x:c r="A3" s="248" t="str">
        <x:v>rule_id</x:v>
      </x:c>
      <x:c r="B3" s="249" t="str">
        <x:v>window_type_id</x:v>
      </x:c>
      <x:c r="C3" s="249" t="str">
        <x:v>glass_id</x:v>
      </x:c>
      <x:c r="D3" s="249" t="str">
        <x:v>selectable</x:v>
      </x:c>
      <x:c r="E3" s="249" t="str">
        <x:v>condition</x:v>
      </x:c>
      <x:c r="F3" s="249" t="str">
        <x:v>ui_action</x:v>
      </x:c>
      <x:c r="G3" s="249" t="str">
        <x:v>status</x:v>
      </x:c>
      <x:c r="H3" s="250" t="str">
        <x:v>evidence</x:v>
      </x:c>
    </x:row>
    <x:row r="4">
      <x:c r="A4" s="251" t="str">
        <x:v>EW-GC-PG</x:v>
      </x:c>
      <x:c r="B4" s="252" t="str">
        <x:v>RPL_EW_SLD</x:v>
      </x:c>
      <x:c r="C4" s="252" t="str">
        <x:v>EW-GL-DOUBLE</x:v>
      </x:c>
      <x:c r="D4" s="284" t="b">
        <x:v>1</x:v>
      </x:c>
      <x:c r="E4" s="252" t="str">
        <x:v>sash_configuration IN (PG障子,PGセレクト障子)</x:v>
      </x:c>
      <x:c r="F4" s="252" t="str">
        <x:v>SHOW_FIXED</x:v>
      </x:c>
      <x:c r="G4" s="252" t="str">
        <x:v>COMPLETE</x:v>
      </x:c>
      <x:c r="H4" s="253" t="str">
        <x:v>EW-EV-005,008</x:v>
      </x:c>
    </x:row>
    <x:row r="5">
      <x:c r="A5" s="251" t="str">
        <x:v>EW-GC-TG</x:v>
      </x:c>
      <x:c r="B5" s="252" t="str">
        <x:v>RPL_EW_SLD</x:v>
      </x:c>
      <x:c r="C5" s="252" t="str">
        <x:v>EW-GL-TRIPLE</x:v>
      </x:c>
      <x:c r="D5" s="284" t="b">
        <x:v>1</x:v>
      </x:c>
      <x:c r="E5" s="252" t="str">
        <x:v>sash_configuration IN (TG障子,TGセレクト障子)</x:v>
      </x:c>
      <x:c r="F5" s="252" t="str">
        <x:v>SHOW_FIXED</x:v>
      </x:c>
      <x:c r="G5" s="252" t="str">
        <x:v>COMPLETE</x:v>
      </x:c>
      <x:c r="H5" s="253" t="str">
        <x:v>EW-EV-005,008</x:v>
      </x:c>
    </x:row>
    <x:row r="6">
      <x:c r="A6" s="251" t="str">
        <x:v>EW-GC-DBRONZE</x:v>
      </x:c>
      <x:c r="B6" s="252" t="str">
        <x:v>RPL_EW_SLD</x:v>
      </x:c>
      <x:c r="C6" s="252" t="str">
        <x:v>EW-D-BRONZE</x:v>
      </x:c>
      <x:c r="D6" s="284" t="b">
        <x:v>1</x:v>
      </x:c>
      <x:c r="E6" s="252" t="str">
        <x:v>region IN (北海道,東北)</x:v>
      </x:c>
      <x:c r="F6" s="252" t="str">
        <x:v>SHOW_IF_ALLOWED</x:v>
      </x:c>
      <x:c r="G6" s="252" t="str">
        <x:v>COMPLETE</x:v>
      </x:c>
      <x:c r="H6" s="253" t="str">
        <x:v>EW-EV-004,008</x:v>
      </x:c>
    </x:row>
    <x:row r="7">
      <x:c r="A7" s="251" t="str">
        <x:v>EW-GC-TBRONZE</x:v>
      </x:c>
      <x:c r="B7" s="252" t="str">
        <x:v>RPL_EW_SLD</x:v>
      </x:c>
      <x:c r="C7" s="252" t="str">
        <x:v>EW-T-CB</x:v>
      </x:c>
      <x:c r="D7" s="284" t="b">
        <x:v>1</x:v>
      </x:c>
      <x:c r="E7" s="252" t="str">
        <x:v>region IN (北海道,東北)</x:v>
      </x:c>
      <x:c r="F7" s="252" t="str">
        <x:v>SHOW_IF_ALLOWED</x:v>
      </x:c>
      <x:c r="G7" s="252" t="str">
        <x:v>COMPLETE</x:v>
      </x:c>
      <x:c r="H7" s="253" t="str">
        <x:v>EW-EV-004,008</x:v>
      </x:c>
    </x:row>
    <x:row r="8">
      <x:c r="A8" s="251" t="str">
        <x:v>EW-GC-ARGON</x:v>
      </x:c>
      <x:c r="B8" s="252" t="str">
        <x:v>RPL_EW_SLD</x:v>
      </x:c>
      <x:c r="C8" s="252" t="str">
        <x:v>EW-GAS-ARGON</x:v>
      </x:c>
      <x:c r="D8" s="284" t="b">
        <x:v>1</x:v>
      </x:c>
      <x:c r="E8" s="252" t="str">
        <x:v>ALL</x:v>
      </x:c>
      <x:c r="F8" s="252" t="str">
        <x:v>AUTO_RESOLVED</x:v>
      </x:c>
      <x:c r="G8" s="252" t="str">
        <x:v>COMPLETE</x:v>
      </x:c>
      <x:c r="H8" s="253" t="str">
        <x:v>EW-EV-005,008</x:v>
      </x:c>
    </x:row>
    <x:row r="9">
      <x:c r="A9" s="251" t="str">
        <x:v>EW-GC-SPACER</x:v>
      </x:c>
      <x:c r="B9" s="252" t="str">
        <x:v>RPL_EW_SLD</x:v>
      </x:c>
      <x:c r="C9" s="252" t="str">
        <x:v>EW-SPACER-RESIN</x:v>
      </x:c>
      <x:c r="D9" s="284" t="b">
        <x:v>1</x:v>
      </x:c>
      <x:c r="E9" s="252" t="str">
        <x:v>ALL</x:v>
      </x:c>
      <x:c r="F9" s="252" t="str">
        <x:v>AUTO_RESOLVED</x:v>
      </x:c>
      <x:c r="G9" s="252" t="str">
        <x:v>COMPLETE</x:v>
      </x:c>
      <x:c r="H9" s="253" t="str">
        <x:v>EW-EV-005,008</x:v>
      </x:c>
    </x:row>
    <x:row r="10">
      <x:c r="A10" s="254" t="str">
        <x:v>EW-GC-GENCLEAR</x:v>
      </x:c>
      <x:c r="B10" s="255" t="str">
        <x:v>RPL_EW_SLD</x:v>
      </x:c>
      <x:c r="C10" s="255" t="str">
        <x:v>EW-T-GENERAL-CLEAR</x:v>
      </x:c>
      <x:c r="D10" s="261" t="b">
        <x:v>1</x:v>
      </x:c>
      <x:c r="E10" s="255" t="str">
        <x:v>estimate_system_check=true</x:v>
      </x:c>
      <x:c r="F10" s="255" t="str">
        <x:v>SHOW_IF_ALLOWED</x:v>
      </x:c>
      <x:c r="G10" s="255" t="str">
        <x:v>COMPLETE_WITH_EXTERNAL_CHECK</x:v>
      </x:c>
      <x:c r="H10" s="256" t="str">
        <x:v>EW-EV-008</x:v>
      </x:c>
    </x:row>
    <x:row r="11">
      <x:c r="A11" s="184"/>
      <x:c r="B11" s="185"/>
      <x:c r="C11" s="185"/>
      <x:c r="D11" s="185"/>
      <x:c r="E11" s="185"/>
      <x:c r="F11" s="185"/>
      <x:c r="G11" s="185"/>
      <x:c r="H11" s="186"/>
    </x:row>
    <x:row r="12">
      <x:c r="A12" s="184"/>
      <x:c r="B12" s="185"/>
      <x:c r="C12" s="185"/>
      <x:c r="D12" s="185"/>
      <x:c r="E12" s="185"/>
      <x:c r="F12" s="185"/>
      <x:c r="G12" s="185"/>
      <x:c r="H12" s="186"/>
    </x:row>
    <x:row r="13">
      <x:c r="A13" s="187"/>
      <x:c r="B13" s="188"/>
      <x:c r="C13" s="188"/>
      <x:c r="D13" s="188"/>
      <x:c r="E13" s="188"/>
      <x:c r="F13" s="188"/>
      <x:c r="G13" s="188"/>
      <x:c r="H13" s="189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4"/>
      <x:c r="B15" s="145"/>
      <x:c r="C15" s="145"/>
      <x:c r="D15" s="145"/>
      <x:c r="E15" s="145"/>
      <x:c r="F15" s="145"/>
      <x:c r="G15" s="145"/>
      <x:c r="H15" s="146"/>
    </x:row>
    <x:row r="16">
      <x:c r="A16" s="144"/>
      <x:c r="B16" s="145"/>
      <x:c r="C16" s="145"/>
      <x:c r="D16" s="145"/>
      <x:c r="E16" s="145"/>
      <x:c r="F16" s="145"/>
      <x:c r="G16" s="145"/>
      <x:c r="H16" s="146"/>
    </x:row>
    <x:row r="17">
      <x:c r="A17" s="144"/>
      <x:c r="B17" s="145"/>
      <x:c r="C17" s="145"/>
      <x:c r="D17" s="145"/>
      <x:c r="E17" s="145"/>
      <x:c r="F17" s="145"/>
      <x:c r="G17" s="145"/>
      <x:c r="H17" s="146"/>
    </x:row>
    <x:row r="18">
      <x:c r="A18" s="144"/>
      <x:c r="B18" s="145"/>
      <x:c r="C18" s="145"/>
      <x:c r="D18" s="145"/>
      <x:c r="E18" s="145"/>
      <x:c r="F18" s="145"/>
      <x:c r="G18" s="145"/>
      <x:c r="H18" s="146"/>
    </x:row>
    <x:row r="19">
      <x:c r="A19" s="144"/>
      <x:c r="B19" s="145"/>
      <x:c r="C19" s="145"/>
      <x:c r="D19" s="145"/>
      <x:c r="E19" s="145"/>
      <x:c r="F19" s="145"/>
      <x:c r="G19" s="145"/>
      <x:c r="H19" s="146"/>
    </x:row>
    <x:row r="20">
      <x:c r="A20" s="144"/>
      <x:c r="B20" s="145"/>
      <x:c r="C20" s="145"/>
      <x:c r="D20" s="145"/>
      <x:c r="E20" s="145"/>
      <x:c r="F20" s="145"/>
      <x:c r="G20" s="145"/>
      <x:c r="H20" s="146"/>
    </x:row>
    <x:row r="21">
      <x:c r="A21" s="144"/>
      <x:c r="B21" s="145"/>
      <x:c r="C21" s="145"/>
      <x:c r="D21" s="145"/>
      <x:c r="E21" s="145"/>
      <x:c r="F21" s="145"/>
      <x:c r="G21" s="145"/>
      <x:c r="H21" s="146"/>
    </x:row>
    <x:row r="22">
      <x:c r="A22" s="144"/>
      <x:c r="B22" s="145"/>
      <x:c r="C22" s="145"/>
      <x:c r="D22" s="145"/>
      <x:c r="E22" s="145"/>
      <x:c r="F22" s="145"/>
      <x:c r="G22" s="145"/>
      <x:c r="H22" s="146"/>
    </x:row>
    <x:row r="23">
      <x:c r="A23" s="144"/>
      <x:c r="B23" s="145"/>
      <x:c r="C23" s="145"/>
      <x:c r="D23" s="145"/>
      <x:c r="E23" s="145"/>
      <x:c r="F23" s="145"/>
      <x:c r="G23" s="145"/>
      <x:c r="H23" s="146"/>
    </x:row>
    <x:row r="24">
      <x:c r="A24" s="144"/>
      <x:c r="B24" s="145"/>
      <x:c r="C24" s="145"/>
      <x:c r="D24" s="145"/>
      <x:c r="E24" s="145"/>
      <x:c r="F24" s="145"/>
      <x:c r="G24" s="145"/>
      <x:c r="H24" s="146"/>
    </x:row>
    <x:row r="25">
      <x:c r="A25" s="144"/>
      <x:c r="B25" s="145"/>
      <x:c r="C25" s="145"/>
      <x:c r="D25" s="145"/>
      <x:c r="E25" s="145"/>
      <x:c r="F25" s="145"/>
      <x:c r="G25" s="145"/>
      <x:c r="H25" s="146"/>
    </x:row>
    <x:row r="26">
      <x:c r="A26" s="144"/>
      <x:c r="B26" s="145"/>
      <x:c r="C26" s="145"/>
      <x:c r="D26" s="145"/>
      <x:c r="E26" s="145"/>
      <x:c r="F26" s="145"/>
      <x:c r="G26" s="145"/>
      <x:c r="H26" s="146"/>
    </x:row>
    <x:row r="27">
      <x:c r="A27" s="144"/>
      <x:c r="B27" s="145"/>
      <x:c r="C27" s="145"/>
      <x:c r="D27" s="145"/>
      <x:c r="E27" s="145"/>
      <x:c r="F27" s="145"/>
      <x:c r="G27" s="145"/>
      <x:c r="H27" s="146"/>
    </x:row>
    <x:row r="28">
      <x:c r="A28" s="144"/>
      <x:c r="B28" s="145"/>
      <x:c r="C28" s="145"/>
      <x:c r="D28" s="145"/>
      <x:c r="E28" s="145"/>
      <x:c r="F28" s="145"/>
      <x:c r="G28" s="145"/>
      <x:c r="H28" s="146"/>
    </x:row>
    <x:row r="29">
      <x:c r="A29" s="144"/>
      <x:c r="B29" s="145"/>
      <x:c r="C29" s="145"/>
      <x:c r="D29" s="145"/>
      <x:c r="E29" s="145"/>
      <x:c r="F29" s="145"/>
      <x:c r="G29" s="145"/>
      <x:c r="H29" s="146"/>
    </x:row>
    <x:row r="30">
      <x:c r="A30" s="144"/>
      <x:c r="B30" s="145"/>
      <x:c r="C30" s="145"/>
      <x:c r="D30" s="145"/>
      <x:c r="E30" s="145"/>
      <x:c r="F30" s="145"/>
      <x:c r="G30" s="145"/>
      <x:c r="H30" s="146"/>
    </x:row>
    <x:row r="31">
      <x:c r="A31" s="144"/>
      <x:c r="B31" s="145"/>
      <x:c r="C31" s="145"/>
      <x:c r="D31" s="145"/>
      <x:c r="E31" s="145"/>
      <x:c r="F31" s="145"/>
      <x:c r="G31" s="145"/>
      <x:c r="H31" s="146"/>
    </x:row>
    <x:row r="32">
      <x:c r="A32" s="144"/>
      <x:c r="B32" s="145"/>
      <x:c r="C32" s="145"/>
      <x:c r="D32" s="145"/>
      <x:c r="E32" s="145"/>
      <x:c r="F32" s="145"/>
      <x:c r="G32" s="145"/>
      <x:c r="H32" s="146"/>
    </x:row>
    <x:row r="33">
      <x:c r="A33" s="144"/>
      <x:c r="B33" s="145"/>
      <x:c r="C33" s="145"/>
      <x:c r="D33" s="145"/>
      <x:c r="E33" s="145"/>
      <x:c r="F33" s="145"/>
      <x:c r="G33" s="145"/>
      <x:c r="H33" s="146"/>
    </x:row>
    <x:row r="34">
      <x:c r="A34" s="144"/>
      <x:c r="B34" s="145"/>
      <x:c r="C34" s="145"/>
      <x:c r="D34" s="145"/>
      <x:c r="E34" s="145"/>
      <x:c r="F34" s="145"/>
      <x:c r="G34" s="145"/>
      <x:c r="H34" s="146"/>
    </x:row>
    <x:row r="35">
      <x:c r="A35" s="144"/>
      <x:c r="B35" s="145"/>
      <x:c r="C35" s="145"/>
      <x:c r="D35" s="145"/>
      <x:c r="E35" s="145"/>
      <x:c r="F35" s="145"/>
      <x:c r="G35" s="145"/>
      <x:c r="H35" s="146"/>
    </x:row>
    <x:row r="36">
      <x:c r="A36" s="144"/>
      <x:c r="B36" s="145"/>
      <x:c r="C36" s="145"/>
      <x:c r="D36" s="145"/>
      <x:c r="E36" s="145"/>
      <x:c r="F36" s="145"/>
      <x:c r="G36" s="145"/>
      <x:c r="H36" s="146"/>
    </x:row>
    <x:row r="37">
      <x:c r="A37" s="144"/>
      <x:c r="B37" s="145"/>
      <x:c r="C37" s="145"/>
      <x:c r="D37" s="145"/>
      <x:c r="E37" s="145"/>
      <x:c r="F37" s="145"/>
      <x:c r="G37" s="145"/>
      <x:c r="H37" s="146"/>
    </x:row>
    <x:row r="38">
      <x:c r="A38" s="144"/>
      <x:c r="B38" s="145"/>
      <x:c r="C38" s="145"/>
      <x:c r="D38" s="145"/>
      <x:c r="E38" s="145"/>
      <x:c r="F38" s="145"/>
      <x:c r="G38" s="145"/>
      <x:c r="H38" s="146"/>
    </x:row>
    <x:row r="39">
      <x:c r="A39" s="144"/>
      <x:c r="B39" s="145"/>
      <x:c r="C39" s="145"/>
      <x:c r="D39" s="145"/>
      <x:c r="E39" s="145"/>
      <x:c r="F39" s="145"/>
      <x:c r="G39" s="145"/>
      <x:c r="H39" s="146"/>
    </x:row>
    <x:row r="40">
      <x:c r="A40" s="144"/>
      <x:c r="B40" s="145"/>
      <x:c r="C40" s="145"/>
      <x:c r="D40" s="145"/>
      <x:c r="E40" s="145"/>
      <x:c r="F40" s="145"/>
      <x:c r="G40" s="145"/>
      <x:c r="H40" s="146"/>
    </x:row>
    <x:row r="41">
      <x:c r="A41" s="144"/>
      <x:c r="B41" s="145"/>
      <x:c r="C41" s="145"/>
      <x:c r="D41" s="145"/>
      <x:c r="E41" s="145"/>
      <x:c r="F41" s="145"/>
      <x:c r="G41" s="145"/>
      <x:c r="H41" s="146"/>
    </x:row>
    <x:row r="42">
      <x:c r="A42" s="147"/>
      <x:c r="B42" s="148"/>
      <x:c r="C42" s="148"/>
      <x:c r="D42" s="148"/>
      <x:c r="E42" s="148"/>
      <x:c r="F42" s="148"/>
      <x:c r="G42" s="148"/>
      <x:c r="H42" s="149"/>
    </x:row>
  </x:sheetData>
  <x:mergeCells>
    <x:mergeCell ref="A1:H1"/>
  </x:mergeCells>
  <x:pageMargins left="0.7" right="0.7" top="0.75" bottom="0.75" header="0.3" footer="0.3"/>
</x:worksheet>
</file>

<file path=xl/worksheets/sheet20.xml><?xml version="1.0" encoding="utf-8"?>
<worksheet xmlns="http://schemas.openxmlformats.org/spreadsheetml/2006/main">
  <sheetFormatPr defaultRowHeight="15"/>
  <cols>
    <col min="1" max="1" width="32" hidden="0" customWidth="1"/>
    <col min="2" max="2" width="50" hidden="0" customWidth="1"/>
    <col min="3" max="3" width="22" hidden="0" customWidth="1"/>
    <col min="4" max="4" width="28" hidden="0" customWidth="1"/>
    <col min="5" max="5" width="64" hidden="0" customWidth="1"/>
    <col min="6" max="6" width="22" hidden="0" customWidth="1"/>
    <col min="7" max="7" width="22" hidden="0" customWidth="1"/>
    <col min="8" max="8" width="16" hidden="0" customWidth="1"/>
  </cols>
  <sheetData>
    <row r="1" ht="28" customHeight="1">
      <c r="A1" s="243" t="str">
        <v>09_その他OP｜EWタイプ</v>
      </c>
      <c r="B1" s="243"/>
      <c r="C1" s="243"/>
      <c r="D1" s="243"/>
      <c r="E1" s="243"/>
      <c r="F1" s="243"/>
      <c r="G1" s="243"/>
      <c r="H1" s="4"/>
    </row>
    <row r="3" ht="30" customHeight="1">
      <c r="A3" s="248" t="str">
        <v>option_id</v>
      </c>
      <c r="B3" s="249" t="str">
        <v>公式名称</v>
      </c>
      <c r="C3" s="249" t="str">
        <v>分類</v>
      </c>
      <c r="D3" s="249" t="str">
        <v>selection_role</v>
      </c>
      <c r="E3" s="249" t="str">
        <v>主要条件</v>
      </c>
      <c r="F3" s="249" t="str">
        <v>status</v>
      </c>
      <c r="G3" s="250" t="str">
        <v>evidence</v>
      </c>
      <c r="H3" s="34"/>
    </row>
    <row r="4">
      <c r="A4" s="251" t="str">
        <v>EW-OP-UPPER-BASE</v>
      </c>
      <c r="B4" s="252" t="str">
        <v>既設上枠ベース材</v>
      </c>
      <c r="C4" s="252" t="str">
        <v>施工部材</v>
      </c>
      <c r="D4" s="252" t="str">
        <v>CONDITIONAL_REQUIRED</v>
      </c>
      <c r="E4" s="252" t="str">
        <v>内嵌め施工時</v>
      </c>
      <c r="F4" s="252" t="str">
        <v>COMPLETE</v>
      </c>
      <c r="G4" s="253" t="str">
        <v>EW-EV-005,011</v>
      </c>
      <c r="H4" s="37"/>
    </row>
    <row r="5">
      <c r="A5" s="251" t="str">
        <v>EW-OP-INTERIOR-RESIN-COVER</v>
      </c>
      <c r="B5" s="252" t="str">
        <v>室内樹脂カバー</v>
      </c>
      <c r="C5" s="252" t="str">
        <v>室内部材</v>
      </c>
      <c r="D5" s="252" t="str">
        <v>USER_SELECT</v>
      </c>
      <c r="E5" s="252" t="str">
        <v>A/B/Cから選択</v>
      </c>
      <c r="F5" s="252" t="str">
        <v>COMPLETE</v>
      </c>
      <c r="G5" s="253" t="str">
        <v>EW-EV-005,009,011</v>
      </c>
      <c r="H5" s="37"/>
    </row>
    <row r="6">
      <c r="A6" s="251" t="str">
        <v>EW-OP-CASING</v>
      </c>
      <c r="B6" s="252" t="str">
        <v>カバー用ケーシング</v>
      </c>
      <c r="C6" s="252" t="str">
        <v>室内部材</v>
      </c>
      <c r="D6" s="252" t="str">
        <v>USER_SELECT</v>
      </c>
      <c r="E6" s="252" t="str">
        <v>室内樹脂カバーと併用不可</v>
      </c>
      <c r="F6" s="252" t="str">
        <v>COMPLETE</v>
      </c>
      <c r="G6" s="253" t="str">
        <v>EW-EV-009,011</v>
      </c>
      <c r="H6" s="37"/>
    </row>
    <row r="7">
      <c r="A7" s="251" t="str">
        <v>EW-OP-SIDE-COVER</v>
      </c>
      <c r="B7" s="252" t="str">
        <v>サイド化粧カバー</v>
      </c>
      <c r="C7" s="252" t="str">
        <v>室外部材</v>
      </c>
      <c r="D7" s="252" t="str">
        <v>USER_SELECT</v>
      </c>
      <c r="E7" s="252" t="str">
        <v>対象納まりのみ</v>
      </c>
      <c r="F7" s="252" t="str">
        <v>COMPLETE</v>
      </c>
      <c r="G7" s="253" t="str">
        <v>EW-EV-009,011</v>
      </c>
      <c r="H7" s="37"/>
    </row>
    <row r="8">
      <c r="A8" s="251" t="str">
        <v>EW-OP-LARGE-HANDLE</v>
      </c>
      <c r="B8" s="252" t="str">
        <v>大型把手</v>
      </c>
      <c r="C8" s="252" t="str">
        <v>把手</v>
      </c>
      <c r="D8" s="252" t="str">
        <v>SYSTEM_REQUIRED</v>
      </c>
      <c r="E8" s="252" t="str">
        <v>PGセレクト障子に連動</v>
      </c>
      <c r="F8" s="252" t="str">
        <v>COMPLETE</v>
      </c>
      <c r="G8" s="253" t="str">
        <v>EW-EV-005,009,010</v>
      </c>
      <c r="H8" s="37"/>
    </row>
    <row r="9">
      <c r="A9" s="251" t="str">
        <v>EW-OP-ASSIST-HANDLE</v>
      </c>
      <c r="B9" s="252" t="str">
        <v>アシスト把手</v>
      </c>
      <c r="C9" s="252" t="str">
        <v>把手</v>
      </c>
      <c r="D9" s="252" t="str">
        <v>SYSTEM_REQUIRED</v>
      </c>
      <c r="E9" s="252" t="str">
        <v>TGセレクト障子に連動</v>
      </c>
      <c r="F9" s="252" t="str">
        <v>COMPLETE</v>
      </c>
      <c r="G9" s="253" t="str">
        <v>EW-EV-005,009,010</v>
      </c>
      <c r="H9" s="37"/>
    </row>
    <row r="10">
      <c r="A10" s="251" t="str">
        <v>EW-OP-AIRTIGHT-TAPE</v>
      </c>
      <c r="B10" s="252" t="str">
        <v>気密テープ</v>
      </c>
      <c r="C10" s="252" t="str">
        <v>施工部材</v>
      </c>
      <c r="D10" s="252" t="str">
        <v>SYSTEM_REQUIRED</v>
      </c>
      <c r="E10" s="252" t="str">
        <v>公式有償品/施工部材</v>
      </c>
      <c r="F10" s="252" t="str">
        <v>COMPLETE</v>
      </c>
      <c r="G10" s="253" t="str">
        <v>EW-EV-009</v>
      </c>
      <c r="H10" s="37"/>
    </row>
    <row r="11">
      <c r="A11" s="251" t="str">
        <v>EW-OP-ANGLE</v>
      </c>
      <c r="B11" s="252" t="str">
        <v>樹脂アングルカバー/見切材</v>
      </c>
      <c r="C11" s="252" t="str">
        <v>室内部材</v>
      </c>
      <c r="D11" s="252" t="str">
        <v>NOT_APPLICABLE</v>
      </c>
      <c r="E11" s="252" t="str">
        <v>EW取付不可</v>
      </c>
      <c r="F11" s="252" t="str">
        <v>NOT_APPLICABLE</v>
      </c>
      <c r="G11" s="253" t="str">
        <v>EW-EV-009</v>
      </c>
      <c r="H11" s="37"/>
    </row>
    <row r="12">
      <c r="A12" s="251" t="str">
        <v>EW-OP-DEPTH</v>
      </c>
      <c r="B12" s="252" t="str">
        <v>見込みふかし部材</v>
      </c>
      <c r="C12" s="252" t="str">
        <v>室内部材</v>
      </c>
      <c r="D12" s="252" t="str">
        <v>NOT_APPLICABLE</v>
      </c>
      <c r="E12" s="252" t="str">
        <v>EW取付不可</v>
      </c>
      <c r="F12" s="252" t="str">
        <v>NOT_APPLICABLE</v>
      </c>
      <c r="G12" s="253" t="str">
        <v>EW-EV-009</v>
      </c>
      <c r="H12" s="37"/>
    </row>
    <row r="13">
      <c r="A13" s="251" t="str">
        <v>EW-OP-UPPER-VENT</v>
      </c>
      <c r="B13" s="252" t="str">
        <v>上桟一体換気窓</v>
      </c>
      <c r="C13" s="252" t="str">
        <v>換気</v>
      </c>
      <c r="D13" s="252" t="str">
        <v>NOT_APPLICABLE</v>
      </c>
      <c r="E13" s="252" t="str">
        <v>EW取付不可</v>
      </c>
      <c r="F13" s="252" t="str">
        <v>NOT_APPLICABLE</v>
      </c>
      <c r="G13" s="253" t="str">
        <v>EW-EV-009</v>
      </c>
      <c r="H13" s="37"/>
    </row>
    <row r="14">
      <c r="A14" s="251" t="str">
        <v>EW-OP-SMALL-STOP</v>
      </c>
      <c r="B14" s="252" t="str">
        <v>小開口ストッパー</v>
      </c>
      <c r="C14" s="252" t="str">
        <v>開口制限</v>
      </c>
      <c r="D14" s="252" t="str">
        <v>NOT_APPLICABLE</v>
      </c>
      <c r="E14" s="252" t="str">
        <v>EW取付不可</v>
      </c>
      <c r="F14" s="252" t="str">
        <v>NOT_APPLICABLE</v>
      </c>
      <c r="G14" s="253" t="str">
        <v>EW-EV-009</v>
      </c>
      <c r="H14" s="40"/>
    </row>
    <row r="15">
      <c r="A15" s="254" t="str">
        <v>EW-OP-FRAME-GRILLE</v>
      </c>
      <c r="B15" s="255" t="str">
        <v>枠付面格子</v>
      </c>
      <c r="C15" s="255" t="str">
        <v>面格子</v>
      </c>
      <c r="D15" s="255" t="str">
        <v>NOT_APPLICABLE</v>
      </c>
      <c r="E15" s="255" t="str">
        <v>EW取付不可</v>
      </c>
      <c r="F15" s="255" t="str">
        <v>NOT_APPLICABLE</v>
      </c>
      <c r="G15" s="256" t="str">
        <v>EW-EV-009</v>
      </c>
    </row>
    <row r="16">
      <c r="A16" s="184" t="inlineStr">
        <is>
          <t>RPL_EW-OP-V5-SPACER-15-20</t>
        </is>
      </c>
      <c r="B16" s="185" t="inlineStr">
        <is>
          <t>施工調整スペーサー 15×20</t>
        </is>
      </c>
      <c r="C16" s="185" t="inlineStr">
        <is>
          <t>施工部材</t>
        </is>
      </c>
      <c r="D16" s="185" t="inlineStr">
        <is>
          <t>USER_SELECT</t>
        </is>
      </c>
      <c r="E16" s="185" t="inlineStr">
        <is>
          <t>Z-04-BWSJ。数量・価格・BOM未確定、自動選択しない</t>
        </is>
      </c>
      <c r="F16" s="185" t="inlineStr">
        <is>
          <t>COMPLETE</t>
        </is>
      </c>
      <c r="G16" s="186" t="inlineStr">
        <is>
          <t>DELTA-SPACER-EV-V4</t>
        </is>
      </c>
    </row>
    <row r="17">
      <c r="A17" s="184" t="inlineStr">
        <is>
          <t>RPL_EW-OP-V5-FILLER</t>
        </is>
      </c>
      <c r="B17" s="185" t="inlineStr">
        <is>
          <t>充てん剤</t>
        </is>
      </c>
      <c r="C17" s="185" t="inlineStr">
        <is>
          <t>施工部材</t>
        </is>
      </c>
      <c r="D17" s="185" t="inlineStr">
        <is>
          <t>USER_SELECT</t>
        </is>
      </c>
      <c r="E17" s="185" t="inlineStr">
        <is>
          <t>原本の5部材コードはEvidenceへ保持。自動BOM・自動注文なし</t>
        </is>
      </c>
      <c r="F17" s="185" t="inlineStr">
        <is>
          <t>COMPLETE</t>
        </is>
      </c>
      <c r="G17" s="186" t="inlineStr">
        <is>
          <t>DELTA-FILLER-EV-V4</t>
        </is>
      </c>
    </row>
    <row r="18">
      <c r="A18" s="184"/>
      <c r="B18" s="185"/>
      <c r="C18" s="185"/>
      <c r="D18" s="185"/>
      <c r="E18" s="185"/>
      <c r="F18" s="185"/>
      <c r="G18" s="186"/>
    </row>
    <row r="19">
      <c r="A19" s="184"/>
      <c r="B19" s="185"/>
      <c r="C19" s="185"/>
      <c r="D19" s="185"/>
      <c r="E19" s="185"/>
      <c r="F19" s="185"/>
      <c r="G19" s="186"/>
    </row>
    <row r="20">
      <c r="A20" s="184"/>
      <c r="B20" s="185"/>
      <c r="C20" s="185"/>
      <c r="D20" s="185"/>
      <c r="E20" s="185"/>
      <c r="F20" s="185"/>
      <c r="G20" s="186"/>
    </row>
    <row r="21">
      <c r="A21" s="184"/>
      <c r="B21" s="185"/>
      <c r="C21" s="185"/>
      <c r="D21" s="185"/>
      <c r="E21" s="185"/>
      <c r="F21" s="185"/>
      <c r="G21" s="186"/>
    </row>
    <row r="22">
      <c r="A22" s="187"/>
      <c r="B22" s="188"/>
      <c r="C22" s="188"/>
      <c r="D22" s="188"/>
      <c r="E22" s="188"/>
      <c r="F22" s="188"/>
      <c r="G22" s="189"/>
    </row>
  </sheetData>
  <mergeCells>
    <mergeCell ref="A1:H1"/>
    <mergeCell ref="A1:F1"/>
    <mergeCell ref="A1:G1"/>
  </mergeCells>
  <pageMargins left="0.7" right="0.7" top="0.75" bottom="0.75" header="0.3" footer="0.3"/>
</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4" hidden="0" customWidth="1"/>
    <x:col min="4" max="4" width="24" hidden="0" customWidth="1"/>
    <x:col min="5" max="5" width="48" hidden="0" customWidth="1"/>
    <x:col min="6" max="6" width="62" hidden="0" customWidth="1"/>
    <x:col min="7" max="7" width="18" hidden="0" customWidth="1"/>
    <x:col min="8" max="8" width="22" hidden="0" customWidth="1"/>
  </x:cols>
  <x:sheetData>
    <x:row r="1" ht="28" customHeight="1">
      <x:c r="A1" s="243" t="str">
        <x:v>09A_OP依存関係｜EWタイプ</x:v>
      </x:c>
      <x:c r="B1" s="243"/>
      <x:c r="C1" s="243"/>
      <x:c r="D1" s="243"/>
      <x:c r="E1" s="243"/>
      <x:c r="F1" s="243"/>
      <x:c r="G1" s="243"/>
      <x:c r="H1" s="243"/>
    </x:row>
    <x:row r="3" ht="30" customHeight="1">
      <x:c r="A3" s="248" t="str">
        <x:v>dependency_id</x:v>
      </x:c>
      <x:c r="B3" s="249" t="str">
        <x:v>option_id</x:v>
      </x:c>
      <x:c r="C3" s="249" t="str">
        <x:v>target_window</x:v>
      </x:c>
      <x:c r="D3" s="249" t="str">
        <x:v>relation</x:v>
      </x:c>
      <x:c r="E3" s="249" t="str">
        <x:v>condition/value</x:v>
      </x:c>
      <x:c r="F3" s="249" t="str">
        <x:v>action_note</x:v>
      </x:c>
      <x:c r="G3" s="249" t="str">
        <x:v>status</x:v>
      </x:c>
      <x:c r="H3" s="250" t="str">
        <x:v>evidence</x:v>
      </x:c>
    </x:row>
    <x:row r="4">
      <x:c r="A4" s="251" t="str">
        <x:v>EW-OD-001</x:v>
      </x:c>
      <x:c r="B4" s="252" t="str">
        <x:v>EW-OP-UPPER-BASE</x:v>
      </x:c>
      <x:c r="C4" s="252" t="str">
        <x:v>RPL_EW_SLD</x:v>
      </x:c>
      <x:c r="D4" s="252" t="str">
        <x:v>REQUIRED_IF</x:v>
      </x:c>
      <x:c r="E4" s="252" t="str">
        <x:v>installation_method=INNER_FIT</x:v>
      </x:c>
      <x:c r="F4" s="252" t="str">
        <x:v>内嵌め施工なら必須</x:v>
      </x:c>
      <x:c r="G4" s="252" t="str">
        <x:v>COMPLETE</x:v>
      </x:c>
      <x:c r="H4" s="253" t="str">
        <x:v>EW-EV-005,011</x:v>
      </x:c>
    </x:row>
    <x:row r="5">
      <x:c r="A5" s="251" t="str">
        <x:v>EW-OD-002</x:v>
      </x:c>
      <x:c r="B5" s="252" t="str">
        <x:v>EW-OP-LARGE-HANDLE</x:v>
      </x:c>
      <x:c r="C5" s="252" t="str">
        <x:v>RPL_EW_SLD</x:v>
      </x:c>
      <x:c r="D5" s="252" t="str">
        <x:v>REQUIRED_IF</x:v>
      </x:c>
      <x:c r="E5" s="252" t="str">
        <x:v>sash_configuration=PGセレクト障子</x:v>
      </x:c>
      <x:c r="F5" s="252" t="str">
        <x:v>自動追加。通常障子では非表示</x:v>
      </x:c>
      <x:c r="G5" s="252" t="str">
        <x:v>COMPLETE</x:v>
      </x:c>
      <x:c r="H5" s="253" t="str">
        <x:v>EW-EV-005,010</x:v>
      </x:c>
    </x:row>
    <x:row r="6">
      <x:c r="A6" s="251" t="str">
        <x:v>EW-OD-003</x:v>
      </x:c>
      <x:c r="B6" s="252" t="str">
        <x:v>EW-OP-ASSIST-HANDLE</x:v>
      </x:c>
      <x:c r="C6" s="252" t="str">
        <x:v>RPL_EW_SLD</x:v>
      </x:c>
      <x:c r="D6" s="252" t="str">
        <x:v>REQUIRED_IF</x:v>
      </x:c>
      <x:c r="E6" s="252" t="str">
        <x:v>sash_configuration=TGセレクト障子</x:v>
      </x:c>
      <x:c r="F6" s="252" t="str">
        <x:v>自動追加。通常障子では非表示</x:v>
      </x:c>
      <x:c r="G6" s="252" t="str">
        <x:v>COMPLETE</x:v>
      </x:c>
      <x:c r="H6" s="253" t="str">
        <x:v>EW-EV-005,010</x:v>
      </x:c>
    </x:row>
    <x:row r="7">
      <x:c r="A7" s="251" t="str">
        <x:v>EW-OD-004</x:v>
      </x:c>
      <x:c r="B7" s="252" t="str">
        <x:v>EW-OP-CASING</x:v>
      </x:c>
      <x:c r="C7" s="252" t="str">
        <x:v>RPL_EW_SLD</x:v>
      </x:c>
      <x:c r="D7" s="252" t="str">
        <x:v>INCOMPATIBLE</x:v>
      </x:c>
      <x:c r="E7" s="252" t="str">
        <x:v>EW-OP-INTERIOR-RESIN-COVER</x:v>
      </x:c>
      <x:c r="F7" s="252" t="str">
        <x:v>併用不可</x:v>
      </x:c>
      <x:c r="G7" s="252" t="str">
        <x:v>COMPLETE</x:v>
      </x:c>
      <x:c r="H7" s="253" t="str">
        <x:v>EW-EV-009</x:v>
      </x:c>
    </x:row>
    <x:row r="8">
      <x:c r="A8" s="251" t="str">
        <x:v>EW-OD-005</x:v>
      </x:c>
      <x:c r="B8" s="252" t="str">
        <x:v>EW-OP-ANGLE</x:v>
      </x:c>
      <x:c r="C8" s="252" t="str">
        <x:v>RPL_EW_SLD</x:v>
      </x:c>
      <x:c r="D8" s="252" t="str">
        <x:v>PROHIBITED_FOR_VARIATION</x:v>
      </x:c>
      <x:c r="E8" s="252" t="str">
        <x:v>RPL_EW</x:v>
      </x:c>
      <x:c r="F8" s="252" t="str">
        <x:v>常時非表示</x:v>
      </x:c>
      <x:c r="G8" s="252" t="str">
        <x:v>COMPLETE</x:v>
      </x:c>
      <x:c r="H8" s="253" t="str">
        <x:v>EW-EV-009</x:v>
      </x:c>
    </x:row>
    <x:row r="9">
      <x:c r="A9" s="251" t="str">
        <x:v>EW-OD-006</x:v>
      </x:c>
      <x:c r="B9" s="252" t="str">
        <x:v>EW-OP-DEPTH</x:v>
      </x:c>
      <x:c r="C9" s="252" t="str">
        <x:v>RPL_EW_SLD</x:v>
      </x:c>
      <x:c r="D9" s="252" t="str">
        <x:v>PROHIBITED_FOR_VARIATION</x:v>
      </x:c>
      <x:c r="E9" s="252" t="str">
        <x:v>RPL_EW</x:v>
      </x:c>
      <x:c r="F9" s="252" t="str">
        <x:v>常時非表示</x:v>
      </x:c>
      <x:c r="G9" s="252" t="str">
        <x:v>COMPLETE</x:v>
      </x:c>
      <x:c r="H9" s="253" t="str">
        <x:v>EW-EV-009</x:v>
      </x:c>
    </x:row>
    <x:row r="10">
      <x:c r="A10" s="251" t="str">
        <x:v>EW-OD-007</x:v>
      </x:c>
      <x:c r="B10" s="252" t="str">
        <x:v>EW-OP-UPPER-VENT</x:v>
      </x:c>
      <x:c r="C10" s="252" t="str">
        <x:v>RPL_EW_SLD</x:v>
      </x:c>
      <x:c r="D10" s="252" t="str">
        <x:v>PROHIBITED_FOR_VARIATION</x:v>
      </x:c>
      <x:c r="E10" s="252" t="str">
        <x:v>RPL_EW</x:v>
      </x:c>
      <x:c r="F10" s="252" t="str">
        <x:v>常時非表示</x:v>
      </x:c>
      <x:c r="G10" s="252" t="str">
        <x:v>COMPLETE</x:v>
      </x:c>
      <x:c r="H10" s="253" t="str">
        <x:v>EW-EV-009</x:v>
      </x:c>
    </x:row>
    <x:row r="11">
      <x:c r="A11" s="251" t="str">
        <x:v>EW-OD-008</x:v>
      </x:c>
      <x:c r="B11" s="252" t="str">
        <x:v>EW-OP-SMALL-STOP</x:v>
      </x:c>
      <x:c r="C11" s="252" t="str">
        <x:v>RPL_EW_SLD</x:v>
      </x:c>
      <x:c r="D11" s="252" t="str">
        <x:v>PROHIBITED_FOR_VARIATION</x:v>
      </x:c>
      <x:c r="E11" s="252" t="str">
        <x:v>RPL_EW</x:v>
      </x:c>
      <x:c r="F11" s="252" t="str">
        <x:v>常時非表示</x:v>
      </x:c>
      <x:c r="G11" s="252" t="str">
        <x:v>COMPLETE</x:v>
      </x:c>
      <x:c r="H11" s="253" t="str">
        <x:v>EW-EV-009</x:v>
      </x:c>
    </x:row>
    <x:row r="12">
      <x:c r="A12" s="254" t="str">
        <x:v>EW-OD-009</x:v>
      </x:c>
      <x:c r="B12" s="255" t="str">
        <x:v>EW-OP-FRAME-GRILLE</x:v>
      </x:c>
      <x:c r="C12" s="255" t="str">
        <x:v>RPL_EW_SLD</x:v>
      </x:c>
      <x:c r="D12" s="255" t="str">
        <x:v>PROHIBITED_FOR_VARIATION</x:v>
      </x:c>
      <x:c r="E12" s="255" t="str">
        <x:v>RPL_EW</x:v>
      </x:c>
      <x:c r="F12" s="255" t="str">
        <x:v>常時非表示</x:v>
      </x:c>
      <x:c r="G12" s="255" t="str">
        <x:v>COMPLETE</x:v>
      </x:c>
      <x:c r="H12" s="256" t="str">
        <x:v>EW-EV-009</x:v>
      </x:c>
    </x:row>
    <x:row r="13">
      <x:c r="A13" s="184"/>
      <x:c r="B13" s="185"/>
      <x:c r="C13" s="185"/>
      <x:c r="D13" s="185"/>
      <x:c r="E13" s="185"/>
      <x:c r="F13" s="185"/>
      <x:c r="G13" s="185"/>
      <x:c r="H13" s="186"/>
    </x:row>
    <x:row r="14">
      <x:c r="A14" s="184"/>
      <x:c r="B14" s="185"/>
      <x:c r="C14" s="185"/>
      <x:c r="D14" s="185"/>
      <x:c r="E14" s="185"/>
      <x:c r="F14" s="185"/>
      <x:c r="G14" s="185"/>
      <x:c r="H14" s="186"/>
    </x:row>
    <x:row r="15">
      <x:c r="A15" s="184"/>
      <x:c r="B15" s="185"/>
      <x:c r="C15" s="185"/>
      <x:c r="D15" s="185"/>
      <x:c r="E15" s="185"/>
      <x:c r="F15" s="185"/>
      <x:c r="G15" s="185"/>
      <x:c r="H15" s="186"/>
    </x:row>
    <x:row r="16">
      <x:c r="A16" s="187"/>
      <x:c r="B16" s="188"/>
      <x:c r="C16" s="188"/>
      <x:c r="D16" s="188"/>
      <x:c r="E16" s="188"/>
      <x:c r="F16" s="188"/>
      <x:c r="G16" s="188"/>
      <x:c r="H16" s="189"/>
    </x:row>
  </x:sheetData>
  <x:mergeCells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6" hidden="0" customWidth="1"/>
    <x:col min="4" max="4" width="30" hidden="0" customWidth="1"/>
    <x:col min="5" max="5" width="60" hidden="0" customWidth="1"/>
    <x:col min="6" max="6" width="58" hidden="0" customWidth="1"/>
    <x:col min="7" max="7" width="30" hidden="0" customWidth="1"/>
    <x:col min="8" max="8" width="22" hidden="0" customWidth="1"/>
  </x:cols>
  <x:sheetData>
    <x:row r="1" ht="28" customHeight="1">
      <x:c r="A1" s="243" t="str">
        <x:v>10_適用条件｜EWタイプ</x:v>
      </x:c>
      <x:c r="B1" s="243"/>
      <x:c r="C1" s="243"/>
      <x:c r="D1" s="243"/>
      <x:c r="E1" s="243"/>
      <x:c r="F1" s="243"/>
      <x:c r="G1" s="243"/>
      <x:c r="H1" s="243"/>
    </x:row>
    <x:row r="2" ht="38" customHeight="1">
      <x:c r="A2" s="244" t="str">
        <x:v>共通構造/防火ルールを参照しつつ、EW専用現調シートの既設連段・異形禁止、枠見込み/下枠条件をローカルで優先。</x:v>
      </x:c>
      <x:c r="B2" s="244"/>
      <x:c r="C2" s="244"/>
      <x:c r="D2" s="244"/>
      <x:c r="E2" s="244"/>
      <x:c r="F2" s="244"/>
      <x:c r="G2" s="244"/>
      <x:c r="H2" s="244"/>
    </x:row>
    <x:row r="3" ht="30" customHeight="1">
      <x:c r="A3" s="32"/>
      <x:c r="B3" s="33"/>
      <x:c r="C3" s="33"/>
      <x:c r="D3" s="33"/>
      <x:c r="E3" s="33"/>
      <x:c r="F3" s="33"/>
      <x:c r="G3" s="34"/>
    </x:row>
    <x:row r="4">
      <x:c r="A4" s="281" t="str">
        <x:v>rule_id</x:v>
      </x:c>
      <x:c r="B4" s="282" t="str">
        <x:v>condition_type</x:v>
      </x:c>
      <x:c r="C4" s="282" t="str">
        <x:v>value</x:v>
      </x:c>
      <x:c r="D4" s="282" t="str">
        <x:v>result</x:v>
      </x:c>
      <x:c r="E4" s="282" t="str">
        <x:v>condition_note</x:v>
      </x:c>
      <x:c r="F4" s="282" t="str">
        <x:v>action</x:v>
      </x:c>
      <x:c r="G4" s="282" t="str">
        <x:v>status</x:v>
      </x:c>
      <x:c r="H4" s="250" t="str">
        <x:v>evidence</x:v>
      </x:c>
    </x:row>
    <x:row r="5">
      <x:c r="A5" s="251" t="str">
        <x:v>EW-AP-SHARED-STRUCTURE</x:v>
      </x:c>
      <x:c r="B5" s="252" t="str">
        <x:v>shared_rule</x:v>
      </x:c>
      <x:c r="C5" s="252" t="str">
        <x:v>SHARED-RPL-STRUCTURE-FIRE</x:v>
      </x:c>
      <x:c r="D5" s="252" t="str">
        <x:v>REFERENCE</x:v>
      </x:c>
      <x:c r="E5" s="252" t="str">
        <x:v>建物構造・防火基本条件</x:v>
      </x:c>
      <x:c r="F5" s="252" t="str">
        <x:v>居室仕様共通ルール参照</x:v>
      </x:c>
      <x:c r="G5" s="252" t="str">
        <x:v>COMPLETE</x:v>
      </x:c>
      <x:c r="H5" s="253" t="str">
        <x:v>EW-EV-001,009</x:v>
      </x:c>
    </x:row>
    <x:row r="6">
      <x:c r="A6" s="251" t="str">
        <x:v>EW-AP-MATERIAL-RESIN</x:v>
      </x:c>
      <x:c r="B6" s="252" t="str">
        <x:v>existing_sash_material</x:v>
      </x:c>
      <x:c r="C6" s="252" t="str">
        <x:v>樹脂製</x:v>
      </x:c>
      <x:c r="D6" s="252" t="str">
        <x:v>UNAVAILABLE</x:v>
      </x:c>
      <x:c r="E6" s="252" t="str">
        <x:v>既設樹脂サッシは取付不可</x:v>
      </x:c>
      <x:c r="F6" s="252" t="str">
        <x:v>EW公式Webでも明示</x:v>
      </x:c>
      <x:c r="G6" s="252" t="str">
        <x:v>COMPLETE</x:v>
      </x:c>
      <x:c r="H6" s="253" t="str">
        <x:v>EW-EV-004</x:v>
      </x:c>
    </x:row>
    <x:row r="7">
      <x:c r="A7" s="251" t="str">
        <x:v>EW-AP-MATERIAL-WOOD</x:v>
      </x:c>
      <x:c r="B7" s="252" t="str">
        <x:v>existing_sash_material</x:v>
      </x:c>
      <x:c r="C7" s="252" t="str">
        <x:v>木製</x:v>
      </x:c>
      <x:c r="D7" s="252" t="str">
        <x:v>UNAVAILABLE</x:v>
      </x:c>
      <x:c r="E7" s="252" t="str">
        <x:v>既設木製サッシは取付不可</x:v>
      </x:c>
      <x:c r="F7" s="252" t="str">
        <x:v>EW公式Webでも明示</x:v>
      </x:c>
      <x:c r="G7" s="252" t="str">
        <x:v>COMPLETE</x:v>
      </x:c>
      <x:c r="H7" s="253" t="str">
        <x:v>EW-EV-004</x:v>
      </x:c>
    </x:row>
    <x:row r="8">
      <x:c r="A8" s="251" t="str">
        <x:v>EW-AP-MULLION</x:v>
      </x:c>
      <x:c r="B8" s="252" t="str">
        <x:v>existing_window_configuration</x:v>
      </x:c>
      <x:c r="C8" s="252" t="str">
        <x:v>連窓/段窓</x:v>
      </x:c>
      <x:c r="D8" s="252" t="str">
        <x:v>UNAVAILABLE</x:v>
      </x:c>
      <x:c r="E8" s="252" t="str">
        <x:v>EW専用現調シートで除外</x:v>
      </x:c>
      <x:c r="F8" s="252" t="str">
        <x:v>通常商品選択不可</x:v>
      </x:c>
      <x:c r="G8" s="252" t="str">
        <x:v>COMPLETE</x:v>
      </x:c>
      <x:c r="H8" s="253" t="str">
        <x:v>EW-EV-011</x:v>
      </x:c>
    </x:row>
    <x:row r="9">
      <x:c r="A9" s="251" t="str">
        <x:v>EW-AP-IRREGULAR</x:v>
      </x:c>
      <x:c r="B9" s="252" t="str">
        <x:v>existing_window_shape</x:v>
      </x:c>
      <x:c r="C9" s="252" t="str">
        <x:v>異形（丸・台形等）</x:v>
      </x:c>
      <x:c r="D9" s="252" t="str">
        <x:v>UNAVAILABLE</x:v>
      </x:c>
      <x:c r="E9" s="252" t="str">
        <x:v>EW専用現調シートで除外</x:v>
      </x:c>
      <x:c r="F9" s="252" t="str">
        <x:v>通常商品選択不可</x:v>
      </x:c>
      <x:c r="G9" s="252" t="str">
        <x:v>COMPLETE</x:v>
      </x:c>
      <x:c r="H9" s="253" t="str">
        <x:v>EW-EV-011</x:v>
      </x:c>
    </x:row>
    <x:row r="10">
      <x:c r="A10" s="251" t="str">
        <x:v>EW-AP-DEPTH</x:v>
      </x:c>
      <x:c r="B10" s="252" t="str">
        <x:v>existing_frame_depth</x:v>
      </x:c>
      <x:c r="C10" s="252" t="str">
        <x:v>&lt;=103mm</x:v>
      </x:c>
      <x:c r="D10" s="252" t="str">
        <x:v>AVAILABLE</x:v>
      </x:c>
      <x:c r="E10" s="252" t="str">
        <x:v>既設枠見込み</x:v>
      </x:c>
      <x:c r="F10" s="252" t="str">
        <x:v>現調UI</x:v>
      </x:c>
      <x:c r="G10" s="252" t="str">
        <x:v>COMPLETE</x:v>
      </x:c>
      <x:c r="H10" s="253" t="str">
        <x:v>EW-EV-011</x:v>
      </x:c>
    </x:row>
    <x:row r="11">
      <x:c r="A11" s="251" t="str">
        <x:v>EW-AP-DEPTH-OVER</x:v>
      </x:c>
      <x:c r="B11" s="252" t="str">
        <x:v>existing_frame_depth</x:v>
      </x:c>
      <x:c r="C11" s="252" t="str">
        <x:v>&gt;103mm</x:v>
      </x:c>
      <x:c r="D11" s="252" t="str">
        <x:v>UNAVAILABLE/EXTERNAL_CHECK</x:v>
      </x:c>
      <x:c r="E11" s="252" t="str">
        <x:v>標準対応範囲外</x:v>
      </x:c>
      <x:c r="F11" s="252" t="str">
        <x:v>現調で最終確認</x:v>
      </x:c>
      <x:c r="G11" s="252" t="str">
        <x:v>COMPLETE_WITH_EXTERNAL_CHECK</x:v>
      </x:c>
      <x:c r="H11" s="253" t="str">
        <x:v>EW-EV-011</x:v>
      </x:c>
    </x:row>
    <x:row r="12">
      <x:c r="A12" s="251" t="str">
        <x:v>EW-AP-SILL-RISE</x:v>
      </x:c>
      <x:c r="B12" s="252" t="str">
        <x:v>lower_frame_rise</x:v>
      </x:c>
      <x:c r="C12" s="252" t="str">
        <x:v>33～48.5mm</x:v>
      </x:c>
      <x:c r="D12" s="252" t="str">
        <x:v>AVAILABLE</x:v>
      </x:c>
      <x:c r="E12" s="252" t="str">
        <x:v>下枠補強金具対応範囲</x:v>
      </x:c>
      <x:c r="F12" s="252" t="str">
        <x:v>現調UI</x:v>
      </x:c>
      <x:c r="G12" s="252" t="str">
        <x:v>COMPLETE</x:v>
      </x:c>
      <x:c r="H12" s="253" t="str">
        <x:v>EW-EV-011</x:v>
      </x:c>
    </x:row>
    <x:row r="13">
      <x:c r="A13" s="254" t="str">
        <x:v>EW-AP-INNERFIT</x:v>
      </x:c>
      <x:c r="B13" s="255" t="str">
        <x:v>installation_method</x:v>
      </x:c>
      <x:c r="C13" s="255" t="str">
        <x:v>内嵌め用</x:v>
      </x:c>
      <x:c r="D13" s="255" t="str">
        <x:v>CONDITIONAL</x:v>
      </x:c>
      <x:c r="E13" s="255" t="str">
        <x:v>標準施工できない既設条件で選択</x:v>
      </x:c>
      <x:c r="F13" s="255" t="str">
        <x:v>既設上枠ベース材必須</x:v>
      </x:c>
      <x:c r="G13" s="255" t="str">
        <x:v>COMPLETE</x:v>
      </x:c>
      <x:c r="H13" s="256" t="str">
        <x:v>EW-EV-005,011</x:v>
      </x:c>
    </x:row>
    <x:row r="14">
      <x:c r="A14" s="38"/>
      <x:c r="B14" s="39"/>
      <x:c r="C14" s="39"/>
      <x:c r="D14" s="39"/>
      <x:c r="E14" s="39"/>
      <x:c r="F14" s="39"/>
      <x:c r="G14" s="40"/>
    </x:row>
  </x:sheetData>
  <x:mergeCells>
    <x:mergeCell ref="A1:G1"/>
    <x:mergeCell ref="A1:H1"/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28" hidden="0" customWidth="1"/>
    <x:col min="5" max="5" width="72" hidden="0" customWidth="1"/>
    <x:col min="6" max="6" width="18" hidden="0" customWidth="1"/>
    <x:col min="7" max="7" width="22" hidden="0" customWidth="1"/>
    <x:col min="8" max="8" width="16" hidden="0" customWidth="1"/>
  </x:cols>
  <x:sheetData>
    <x:row r="1" ht="28" customHeight="1">
      <x:c r="A1" s="243" t="str">
        <x:v>10A_既設窓互換｜EWタイプ</x:v>
      </x:c>
      <x:c r="B1" s="243"/>
      <x:c r="C1" s="243"/>
      <x:c r="D1" s="243"/>
      <x:c r="E1" s="243"/>
      <x:c r="F1" s="243"/>
      <x:c r="G1" s="243"/>
      <x:c r="H1" s="4"/>
    </x:row>
    <x:row r="2" ht="38" customHeight="1">
      <x:c r="A2" s="244" t="str">
        <x:v>共通互換表を参照しつつ、EW専用現調シートで明示された禁止条件を優先する。</x:v>
      </x:c>
      <x:c r="B2" s="244"/>
      <x:c r="C2" s="244"/>
      <x:c r="D2" s="244"/>
      <x:c r="E2" s="244"/>
      <x:c r="F2" s="244"/>
      <x:c r="G2" s="244"/>
      <x:c r="H2" s="11"/>
    </x:row>
    <x:row r="3">
      <x:c r="A3" s="181"/>
      <x:c r="B3" s="182"/>
      <x:c r="C3" s="182"/>
      <x:c r="D3" s="182"/>
      <x:c r="E3" s="182"/>
      <x:c r="F3" s="182"/>
      <x:c r="G3" s="183"/>
    </x:row>
    <x:row r="4" ht="30" customHeight="1">
      <x:c r="A4" s="281" t="str">
        <x:v>rule_id</x:v>
      </x:c>
      <x:c r="B4" s="282" t="str">
        <x:v>variation_id</x:v>
      </x:c>
      <x:c r="C4" s="282" t="str">
        <x:v>existing_window_type</x:v>
      </x:c>
      <x:c r="D4" s="282" t="str">
        <x:v>result</x:v>
      </x:c>
      <x:c r="E4" s="282" t="str">
        <x:v>condition_note</x:v>
      </x:c>
      <x:c r="F4" s="282" t="str">
        <x:v>status</x:v>
      </x:c>
      <x:c r="G4" s="283" t="str">
        <x:v>evidence</x:v>
      </x:c>
      <x:c r="H4" s="34"/>
    </x:row>
    <x:row r="5">
      <x:c r="A5" s="251" t="str">
        <x:v>EW-EX-001</x:v>
      </x:c>
      <x:c r="B5" s="252" t="str">
        <x:v>RPL_EW</x:v>
      </x:c>
      <x:c r="C5" s="252" t="str">
        <x:v>単体サッシ</x:v>
      </x:c>
      <x:c r="D5" s="252" t="str">
        <x:v>AVAILABLE</x:v>
      </x:c>
      <x:c r="E5" s="252" t="str">
        <x:v>共通既設窓可否＋EW固有現調条件を適用</x:v>
      </x:c>
      <x:c r="F5" s="252" t="str">
        <x:v>COMPLETE</x:v>
      </x:c>
      <x:c r="G5" s="253" t="str">
        <x:v>EW-EV-009,011</x:v>
      </x:c>
      <x:c r="H5" s="37"/>
    </x:row>
    <x:row r="6">
      <x:c r="A6" s="251" t="str">
        <x:v>EW-EX-002</x:v>
      </x:c>
      <x:c r="B6" s="252" t="str">
        <x:v>RPL_EW</x:v>
      </x:c>
      <x:c r="C6" s="252" t="str">
        <x:v>二重サッシ</x:v>
      </x:c>
      <x:c r="D6" s="252" t="str">
        <x:v>CONDITIONAL</x:v>
      </x:c>
      <x:c r="E6" s="252" t="str">
        <x:v>内窓撤去等の共通条件を適用</x:v>
      </x:c>
      <x:c r="F6" s="252" t="str">
        <x:v>COMPLETE</x:v>
      </x:c>
      <x:c r="G6" s="253" t="str">
        <x:v>EW-EV-009</x:v>
      </x:c>
      <x:c r="H6" s="37"/>
    </x:row>
    <x:row r="7">
      <x:c r="A7" s="251" t="str">
        <x:v>EW-EX-003</x:v>
      </x:c>
      <x:c r="B7" s="252" t="str">
        <x:v>RPL_EW</x:v>
      </x:c>
      <x:c r="C7" s="252" t="str">
        <x:v>面格子付引違い窓</x:v>
      </x:c>
      <x:c r="D7" s="252" t="str">
        <x:v>AVAILABLE_CONDITIONAL</x:v>
      </x:c>
      <x:c r="E7" s="252" t="str">
        <x:v>既設周辺条件確認</x:v>
      </x:c>
      <x:c r="F7" s="252" t="str">
        <x:v>COMPLETE</x:v>
      </x:c>
      <x:c r="G7" s="253" t="str">
        <x:v>EW-EV-011</x:v>
      </x:c>
      <x:c r="H7" s="37"/>
    </x:row>
    <x:row r="8">
      <x:c r="A8" s="251" t="str">
        <x:v>EW-EX-004</x:v>
      </x:c>
      <x:c r="B8" s="252" t="str">
        <x:v>RPL_EW</x:v>
      </x:c>
      <x:c r="C8" s="252" t="str">
        <x:v>雨戸付引違い窓</x:v>
      </x:c>
      <x:c r="D8" s="252" t="str">
        <x:v>AVAILABLE_CONDITIONAL</x:v>
      </x:c>
      <x:c r="E8" s="252" t="str">
        <x:v>内嵌め/特小化粧カバー等を現調</x:v>
      </x:c>
      <x:c r="F8" s="252" t="str">
        <x:v>COMPLETE</x:v>
      </x:c>
      <x:c r="G8" s="253" t="str">
        <x:v>EW-EV-011</x:v>
      </x:c>
      <x:c r="H8" s="37"/>
    </x:row>
    <x:row r="9">
      <x:c r="A9" s="251" t="str">
        <x:v>EW-EX-005</x:v>
      </x:c>
      <x:c r="B9" s="252" t="str">
        <x:v>RPL_EW</x:v>
      </x:c>
      <x:c r="C9" s="252" t="str">
        <x:v>シャッター付引違い窓</x:v>
      </x:c>
      <x:c r="D9" s="252" t="str">
        <x:v>AVAILABLE_CONDITIONAL</x:v>
      </x:c>
      <x:c r="E9" s="252" t="str">
        <x:v>内嵌め/特小化粧カバー等を現調</x:v>
      </x:c>
      <x:c r="F9" s="252" t="str">
        <x:v>COMPLETE</x:v>
      </x:c>
      <x:c r="G9" s="253" t="str">
        <x:v>EW-EV-011</x:v>
      </x:c>
      <x:c r="H9" s="37"/>
    </x:row>
    <x:row r="10">
      <x:c r="A10" s="251" t="str">
        <x:v>EW-EX-006</x:v>
      </x:c>
      <x:c r="B10" s="252" t="str">
        <x:v>RPL_EW</x:v>
      </x:c>
      <x:c r="C10" s="252" t="str">
        <x:v>連窓・段窓</x:v>
      </x:c>
      <x:c r="D10" s="252" t="str">
        <x:v>UNAVAILABLE</x:v>
      </x:c>
      <x:c r="E10" s="252" t="str">
        <x:v>EW現調シートで除外</x:v>
      </x:c>
      <x:c r="F10" s="252" t="str">
        <x:v>COMPLETE</x:v>
      </x:c>
      <x:c r="G10" s="253" t="str">
        <x:v>EW-EV-011</x:v>
      </x:c>
      <x:c r="H10" s="37"/>
    </x:row>
    <x:row r="11">
      <x:c r="A11" s="254" t="str">
        <x:v>EW-EX-007</x:v>
      </x:c>
      <x:c r="B11" s="255" t="str">
        <x:v>RPL_EW</x:v>
      </x:c>
      <x:c r="C11" s="255" t="str">
        <x:v>異形窓</x:v>
      </x:c>
      <x:c r="D11" s="255" t="str">
        <x:v>UNAVAILABLE</x:v>
      </x:c>
      <x:c r="E11" s="255" t="str">
        <x:v>丸・台形等は不可</x:v>
      </x:c>
      <x:c r="F11" s="255" t="str">
        <x:v>COMPLETE</x:v>
      </x:c>
      <x:c r="G11" s="256" t="str">
        <x:v>EW-EV-011</x:v>
      </x:c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8"/>
      <x:c r="B15" s="39"/>
      <x:c r="C15" s="39"/>
      <x:c r="D15" s="39"/>
      <x:c r="E15" s="39"/>
      <x:c r="F15" s="39"/>
      <x:c r="G15" s="39"/>
      <x:c r="H15" s="40"/>
    </x:row>
  </x:sheetData>
  <x:mergeCells>
    <x:mergeCell ref="A1:H1"/>
    <x:mergeCell ref="A2:H2"/>
    <x:mergeCell ref="A1:G1"/>
    <x:mergeCell ref="A2:G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2" hidden="0" customWidth="1"/>
    <x:col min="4" max="4" width="10" hidden="0" customWidth="1"/>
    <x:col min="5" max="5" width="88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</x:cols>
  <x:sheetData>
    <x:row r="1" ht="28" customHeight="1">
      <x:c r="A1" s="243" t="str">
        <x:v>10B_現調項目｜EWタイプ</x:v>
      </x:c>
      <x:c r="B1" s="243"/>
      <x:c r="C1" s="243"/>
      <x:c r="D1" s="243"/>
      <x:c r="E1" s="243"/>
      <x:c r="F1" s="243"/>
      <x:c r="G1" s="243"/>
      <x:c r="H1" s="243"/>
      <x:c r="I1" s="243"/>
    </x:row>
    <x:row r="3" ht="30" customHeight="1">
      <x:c r="A3" s="248" t="str">
        <x:v>survey_id</x:v>
      </x:c>
      <x:c r="B3" s="249" t="str">
        <x:v>項目名</x:v>
      </x:c>
      <x:c r="C3" s="249" t="str">
        <x:v>symbol</x:v>
      </x:c>
      <x:c r="D3" s="249" t="str">
        <x:v>unit</x:v>
      </x:c>
      <x:c r="E3" s="249" t="str">
        <x:v>判定/採寸ルール</x:v>
      </x:c>
      <x:c r="F3" s="249" t="str">
        <x:v>requirement</x:v>
      </x:c>
      <x:c r="G3" s="249" t="str">
        <x:v>ui_layer</x:v>
      </x:c>
      <x:c r="H3" s="249" t="str">
        <x:v>status</x:v>
      </x:c>
      <x:c r="I3" s="250" t="str">
        <x:v>evidence</x:v>
      </x:c>
    </x:row>
    <x:row r="4">
      <x:c r="A4" s="251" t="str">
        <x:v>EW-SV-W3</x:v>
      </x:c>
      <x:c r="B4" s="252" t="str">
        <x:v>採寸W 3点</x:v>
      </x:c>
      <x:c r="C4" s="252" t="str">
        <x:v>WS</x:v>
      </x:c>
      <x:c r="D4" s="252" t="str">
        <x:v>mm</x:v>
      </x:c>
      <x:c r="E4" s="252" t="str">
        <x:v>上・中・下3点を採寸</x:v>
      </x:c>
      <x:c r="F4" s="252" t="str">
        <x:v>REQUIRED</x:v>
      </x:c>
      <x:c r="G4" s="252" t="str">
        <x:v>現調UI</x:v>
      </x:c>
      <x:c r="H4" s="252" t="str">
        <x:v>COMPLETE</x:v>
      </x:c>
      <x:c r="I4" s="253" t="str">
        <x:v>EW-EV-011</x:v>
      </x:c>
    </x:row>
    <x:row r="5">
      <x:c r="A5" s="251" t="str">
        <x:v>EW-SV-H3</x:v>
      </x:c>
      <x:c r="B5" s="252" t="str">
        <x:v>採寸H 3点</x:v>
      </x:c>
      <x:c r="C5" s="252" t="str">
        <x:v>HS</x:v>
      </x:c>
      <x:c r="D5" s="252" t="str">
        <x:v>mm</x:v>
      </x:c>
      <x:c r="E5" s="252" t="str">
        <x:v>左・中・右3点を採寸</x:v>
      </x:c>
      <x:c r="F5" s="252" t="str">
        <x:v>REQUIRED</x:v>
      </x:c>
      <x:c r="G5" s="252" t="str">
        <x:v>現調UI</x:v>
      </x:c>
      <x:c r="H5" s="252" t="str">
        <x:v>COMPLETE</x:v>
      </x:c>
      <x:c r="I5" s="253" t="str">
        <x:v>EW-EV-011</x:v>
      </x:c>
    </x:row>
    <x:row r="6">
      <x:c r="A6" s="251" t="str">
        <x:v>EW-SV-TWIST</x:v>
      </x:c>
      <x:c r="B6" s="252" t="str">
        <x:v>ねじれ/ゆがみ/たおれ</x:v>
      </x:c>
      <x:c r="C6" s="252" t="str">
        <x:v>—</x:v>
      </x:c>
      <x:c r="D6" s="252" t="str">
        <x:v>—</x:v>
      </x:c>
      <x:c r="E6" s="252" t="str">
        <x:v>問題がないことを確認</x:v>
      </x:c>
      <x:c r="F6" s="252" t="str">
        <x:v>REQUIRED</x:v>
      </x:c>
      <x:c r="G6" s="252" t="str">
        <x:v>現調UI</x:v>
      </x:c>
      <x:c r="H6" s="252" t="str">
        <x:v>COMPLETE</x:v>
      </x:c>
      <x:c r="I6" s="253" t="str">
        <x:v>EW-EV-011</x:v>
      </x:c>
    </x:row>
    <x:row r="7">
      <x:c r="A7" s="251" t="str">
        <x:v>EW-SV-HEAD-FACE</x:v>
      </x:c>
      <x:c r="B7" s="252" t="str">
        <x:v>既設上枠見付</x:v>
      </x:c>
      <x:c r="C7" s="252" t="str">
        <x:v>—</x:v>
      </x:c>
      <x:c r="D7" s="252" t="str">
        <x:v>mm</x:v>
      </x:c>
      <x:c r="E7" s="252" t="str">
        <x:v>10C化粧カバー見付ルールへ</x:v>
      </x:c>
      <x:c r="F7" s="252" t="str">
        <x:v>REQUIRED</x:v>
      </x:c>
      <x:c r="G7" s="252" t="str">
        <x:v>現調UI</x:v>
      </x:c>
      <x:c r="H7" s="252" t="str">
        <x:v>COMPLETE</x:v>
      </x:c>
      <x:c r="I7" s="253" t="str">
        <x:v>EW-EV-011</x:v>
      </x:c>
    </x:row>
    <x:row r="8">
      <x:c r="A8" s="251" t="str">
        <x:v>EW-SV-SILL-FACE</x:v>
      </x:c>
      <x:c r="B8" s="252" t="str">
        <x:v>既設下枠見付</x:v>
      </x:c>
      <x:c r="C8" s="252" t="str">
        <x:v>—</x:v>
      </x:c>
      <x:c r="D8" s="252" t="str">
        <x:v>mm</x:v>
      </x:c>
      <x:c r="E8" s="252" t="str">
        <x:v>10C化粧カバー見付ルールへ</x:v>
      </x:c>
      <x:c r="F8" s="252" t="str">
        <x:v>REQUIRED</x:v>
      </x:c>
      <x:c r="G8" s="252" t="str">
        <x:v>現調UI</x:v>
      </x:c>
      <x:c r="H8" s="252" t="str">
        <x:v>COMPLETE</x:v>
      </x:c>
      <x:c r="I8" s="253" t="str">
        <x:v>EW-EV-011</x:v>
      </x:c>
    </x:row>
    <x:row r="9">
      <x:c r="A9" s="251" t="str">
        <x:v>EW-SV-JAMB-FACE</x:v>
      </x:c>
      <x:c r="B9" s="252" t="str">
        <x:v>既設縦枠見付</x:v>
      </x:c>
      <x:c r="C9" s="252" t="str">
        <x:v>—</x:v>
      </x:c>
      <x:c r="D9" s="252" t="str">
        <x:v>mm</x:v>
      </x:c>
      <x:c r="E9" s="252" t="str">
        <x:v>10C化粧カバー見付ルールへ</x:v>
      </x:c>
      <x:c r="F9" s="252" t="str">
        <x:v>REQUIRED</x:v>
      </x:c>
      <x:c r="G9" s="252" t="str">
        <x:v>現調UI</x:v>
      </x:c>
      <x:c r="H9" s="252" t="str">
        <x:v>COMPLETE</x:v>
      </x:c>
      <x:c r="I9" s="253" t="str">
        <x:v>EW-EV-011</x:v>
      </x:c>
    </x:row>
    <x:row r="10">
      <x:c r="A10" s="251" t="str">
        <x:v>EW-SV-SILL-RISE</x:v>
      </x:c>
      <x:c r="B10" s="252" t="str">
        <x:v>下枠立ち上がり</x:v>
      </x:c>
      <x:c r="C10" s="252" t="str">
        <x:v>—</x:v>
      </x:c>
      <x:c r="D10" s="252" t="str">
        <x:v>mm</x:v>
      </x:c>
      <x:c r="E10" s="252" t="str">
        <x:v>33～48.5mm</x:v>
      </x:c>
      <x:c r="F10" s="252" t="str">
        <x:v>REQUIRED</x:v>
      </x:c>
      <x:c r="G10" s="252" t="str">
        <x:v>現調UI</x:v>
      </x:c>
      <x:c r="H10" s="252" t="str">
        <x:v>COMPLETE</x:v>
      </x:c>
      <x:c r="I10" s="253" t="str">
        <x:v>EW-EV-011</x:v>
      </x:c>
    </x:row>
    <x:row r="11">
      <x:c r="A11" s="251" t="str">
        <x:v>EW-SV-IN-DEPTH</x:v>
      </x:c>
      <x:c r="B11" s="252" t="str">
        <x:v>室内側見込み</x:v>
      </x:c>
      <x:c r="C11" s="252" t="str">
        <x:v>—</x:v>
      </x:c>
      <x:c r="D11" s="252" t="str">
        <x:v>mm</x:v>
      </x:c>
      <x:c r="E11" s="252" t="str">
        <x:v>現調記録</x:v>
      </x:c>
      <x:c r="F11" s="252" t="str">
        <x:v>CONDITIONAL</x:v>
      </x:c>
      <x:c r="G11" s="252" t="str">
        <x:v>現調UI</x:v>
      </x:c>
      <x:c r="H11" s="252" t="str">
        <x:v>COMPLETE</x:v>
      </x:c>
      <x:c r="I11" s="253" t="str">
        <x:v>EW-EV-011</x:v>
      </x:c>
    </x:row>
    <x:row r="12">
      <x:c r="A12" s="251" t="str">
        <x:v>EW-SV-FRAME-DEPTH</x:v>
      </x:c>
      <x:c r="B12" s="252" t="str">
        <x:v>既設枠見込み</x:v>
      </x:c>
      <x:c r="C12" s="252" t="str">
        <x:v>—</x:v>
      </x:c>
      <x:c r="D12" s="252" t="str">
        <x:v>mm</x:v>
      </x:c>
      <x:c r="E12" s="252" t="str">
        <x:v>103mm以下</x:v>
      </x:c>
      <x:c r="F12" s="252" t="str">
        <x:v>REQUIRED</x:v>
      </x:c>
      <x:c r="G12" s="252" t="str">
        <x:v>現調UI</x:v>
      </x:c>
      <x:c r="H12" s="252" t="str">
        <x:v>COMPLETE</x:v>
      </x:c>
      <x:c r="I12" s="253" t="str">
        <x:v>EW-EV-011</x:v>
      </x:c>
    </x:row>
    <x:row r="13">
      <x:c r="A13" s="254" t="str">
        <x:v>EW-SV-INSTALL</x:v>
      </x:c>
      <x:c r="B13" s="255" t="str">
        <x:v>施工区分</x:v>
      </x:c>
      <x:c r="C13" s="255" t="str">
        <x:v>—</x:v>
      </x:c>
      <x:c r="D13" s="255" t="str">
        <x:v>—</x:v>
      </x:c>
      <x:c r="E13" s="255" t="str">
        <x:v>標準用 / 内嵌め用（既設内付・半外付） / 内嵌め用（既設外付）</x:v>
      </x:c>
      <x:c r="F13" s="255" t="str">
        <x:v>REQUIRED</x:v>
      </x:c>
      <x:c r="G13" s="255" t="str">
        <x:v>現調UI</x:v>
      </x:c>
      <x:c r="H13" s="255" t="str">
        <x:v>COMPLETE</x:v>
      </x:c>
      <x:c r="I13" s="256" t="str">
        <x:v>EW-EV-011</x:v>
      </x:c>
    </x:row>
    <x:row r="14">
      <x:c r="A14" s="147"/>
      <x:c r="B14" s="148"/>
      <x:c r="C14" s="148"/>
      <x:c r="D14" s="148"/>
      <x:c r="E14" s="148"/>
      <x:c r="F14" s="148"/>
      <x:c r="G14" s="148"/>
      <x:c r="H14" s="148"/>
      <x:c r="I14" s="149"/>
    </x:row>
  </x:sheetData>
  <x:mergeCells>
    <x:mergeCell ref="A1:I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4" hidden="0" customWidth="1"/>
    <x:col min="4" max="4" width="30" hidden="0" customWidth="1"/>
    <x:col min="5" max="5" width="92" hidden="0" customWidth="1"/>
    <x:col min="6" max="6" width="24" hidden="0" customWidth="1"/>
  </x:cols>
  <x:sheetData>
    <x:row r="1" ht="28" customHeight="1">
      <x:c r="A1" s="243" t="str">
        <x:v>99_QA｜EWタイプ 完成判定</x:v>
      </x:c>
      <x:c r="B1" s="243"/>
      <x:c r="C1" s="243"/>
      <x:c r="D1" s="243"/>
      <x:c r="E1" s="243"/>
      <x:c r="F1" s="243"/>
    </x:row>
    <x:row r="2" ht="38" customHeight="1">
      <x:c r="A2" s="244" t="str">
        <x:v>COMPLETE_WITH_EXTERNAL_CHECK は共通仕様上の完成状態。通常見積必須項目のUNCONFIRMEDは0件。</x:v>
      </x:c>
      <x:c r="B2" s="244"/>
      <x:c r="C2" s="244"/>
      <x:c r="D2" s="244"/>
      <x:c r="E2" s="244"/>
      <x:c r="F2" s="244"/>
    </x:row>
    <x:row r="3" ht="30" customHeight="1">
      <x:c r="A3" s="32"/>
      <x:c r="B3" s="33"/>
      <x:c r="C3" s="33"/>
      <x:c r="D3" s="33"/>
      <x:c r="E3" s="33"/>
      <x:c r="F3" s="34"/>
    </x:row>
    <x:row r="4">
      <x:c r="A4" s="281" t="str">
        <x:v>qa_id</x:v>
      </x:c>
      <x:c r="B4" s="282" t="str">
        <x:v>phase</x:v>
      </x:c>
      <x:c r="C4" s="282" t="str">
        <x:v>項目</x:v>
      </x:c>
      <x:c r="D4" s="282" t="str">
        <x:v>status</x:v>
      </x:c>
      <x:c r="E4" s="282" t="str">
        <x:v>判定/残課題</x:v>
      </x:c>
      <x:c r="F4" s="283" t="str">
        <x:v>evidence</x:v>
      </x:c>
    </x:row>
    <x:row r="5">
      <x:c r="A5" s="251" t="str">
        <x:v>EW-QA-01</x:v>
      </x:c>
      <x:c r="B5" s="252" t="str">
        <x:v>EW-1</x:v>
      </x:c>
      <x:c r="C5" s="252" t="str">
        <x:v>商品体系/窓種</x:v>
      </x:c>
      <x:c r="D5" s="298" t="str">
        <x:v>COMPLETE</x:v>
      </x:c>
      <x:c r="E5" s="252" t="str">
        <x:v>引違い窓・2枚建のみ</x:v>
      </x:c>
      <x:c r="F5" s="253" t="str">
        <x:v>EW-EV-002,003,004</x:v>
      </x:c>
    </x:row>
    <x:row r="6">
      <x:c r="A6" s="251" t="str">
        <x:v>EW-QA-02</x:v>
      </x:c>
      <x:c r="B6" s="252" t="str">
        <x:v>EW-1</x:v>
      </x:c>
      <x:c r="C6" s="252" t="str">
        <x:v>枠体系</x:v>
      </x:c>
      <x:c r="D6" s="298" t="str">
        <x:v>COMPLETE</x:v>
      </x:c>
      <x:c r="E6" s="252" t="str">
        <x:v>固定枠。標準枠/ブリッジ枠選択なし</x:v>
      </x:c>
      <x:c r="F6" s="253" t="str">
        <x:v>EW-EV-002,005</x:v>
      </x:c>
    </x:row>
    <x:row r="7">
      <x:c r="A7" s="251" t="str">
        <x:v>EW-QA-03</x:v>
      </x:c>
      <x:c r="B7" s="252" t="str">
        <x:v>EW-1</x:v>
      </x:c>
      <x:c r="C7" s="252" t="str">
        <x:v>障子体系</x:v>
      </x:c>
      <x:c r="D7" s="298" t="str">
        <x:v>COMPLETE</x:v>
      </x:c>
      <x:c r="E7" s="252" t="str">
        <x:v>PG/TG/PGセレクト/TGセレクト</x:v>
      </x:c>
      <x:c r="F7" s="253" t="str">
        <x:v>EW-EV-005,006</x:v>
      </x:c>
    </x:row>
    <x:row r="8">
      <x:c r="A8" s="251" t="str">
        <x:v>EW-QA-04</x:v>
      </x:c>
      <x:c r="B8" s="252" t="str">
        <x:v>EW-2</x:v>
      </x:c>
      <x:c r="C8" s="252" t="str">
        <x:v>採寸→出来寸</x:v>
      </x:c>
      <x:c r="D8" s="298" t="str">
        <x:v>COMPLETE</x:v>
      </x:c>
      <x:c r="E8" s="252" t="str">
        <x:v>WD=WS-10 / HD=HS-10</x:v>
      </x:c>
      <x:c r="F8" s="253" t="str">
        <x:v>EW-EV-005,007</x:v>
      </x:c>
    </x:row>
    <x:row r="9">
      <x:c r="A9" s="251" t="str">
        <x:v>EW-QA-05</x:v>
      </x:c>
      <x:c r="B9" s="252" t="str">
        <x:v>EW-2</x:v>
      </x:c>
      <x:c r="C9" s="252" t="str">
        <x:v>基本製作範囲・公開境界式</x:v>
      </x:c>
      <x:c r="D9" s="298" t="str">
        <x:v>COMPLETE</x:v>
      </x:c>
      <x:c r="E9" s="252" t="str">
        <x:v>p.99を機械判定化</x:v>
      </x:c>
      <x:c r="F9" s="253" t="str">
        <x:v>EW-EV-007</x:v>
      </x:c>
    </x:row>
    <x:row r="10">
      <x:c r="A10" s="251" t="str">
        <x:v>EW-QA-06</x:v>
      </x:c>
      <x:c r="B10" s="252" t="str">
        <x:v>EW-2</x:v>
      </x:c>
      <x:c r="C10" s="252" t="str">
        <x:v>内嵌め網掛け/ガラス完成品/耐風圧</x:v>
      </x:c>
      <x:c r="D10" s="299" t="str">
        <x:v>COMPLETE_WITH_EXTERNAL_CHECK</x:v>
      </x:c>
      <x:c r="E10" s="252" t="str">
        <x:v>式のない境界は公式確認</x:v>
      </x:c>
      <x:c r="F10" s="253" t="str">
        <x:v>EW-EV-001,007,012</x:v>
      </x:c>
    </x:row>
    <x:row r="11">
      <x:c r="A11" s="251" t="str">
        <x:v>EW-QA-07</x:v>
      </x:c>
      <x:c r="B11" s="252" t="str">
        <x:v>EW-3</x:v>
      </x:c>
      <x:c r="C11" s="252" t="str">
        <x:v>色</x:v>
      </x:c>
      <x:c r="D11" s="298" t="str">
        <x:v>COMPLETE</x:v>
      </x:c>
      <x:c r="E11" s="252" t="str">
        <x:v>外観4色、内観白固定、化粧カバー4色、室内樹脂白固定</x:v>
      </x:c>
      <x:c r="F11" s="253" t="str">
        <x:v>EW-EV-003,004</x:v>
      </x:c>
    </x:row>
    <x:row r="12">
      <x:c r="A12" s="251" t="str">
        <x:v>EW-QA-08</x:v>
      </x:c>
      <x:c r="B12" s="252" t="str">
        <x:v>EW-3</x:v>
      </x:c>
      <x:c r="C12" s="252" t="str">
        <x:v>網戸</x:v>
      </x:c>
      <x:c r="D12" s="298" t="str">
        <x:v>COMPLETE</x:v>
      </x:c>
      <x:c r="E12" s="252" t="str">
        <x:v>引違い網戸＋4ネット、中桟軸なし</x:v>
      </x:c>
      <x:c r="F12" s="253" t="str">
        <x:v>EW-EV-004,005,011</x:v>
      </x:c>
    </x:row>
    <x:row r="13">
      <x:c r="A13" s="251" t="str">
        <x:v>EW-QA-09</x:v>
      </x:c>
      <x:c r="B13" s="252" t="str">
        <x:v>EW-4</x:v>
      </x:c>
      <x:c r="C13" s="252" t="str">
        <x:v>Low-E複層/トリプル</x:v>
      </x:c>
      <x:c r="D13" s="298" t="str">
        <x:v>COMPLETE</x:v>
      </x:c>
      <x:c r="E13" s="252" t="str">
        <x:v>障子とガラス大分類を連動</x:v>
      </x:c>
      <x:c r="F13" s="253" t="str">
        <x:v>EW-EV-004,008</x:v>
      </x:c>
    </x:row>
    <x:row r="14">
      <x:c r="A14" s="251" t="str">
        <x:v>EW-QA-10</x:v>
      </x:c>
      <x:c r="B14" s="252" t="str">
        <x:v>EW-4</x:v>
      </x:c>
      <x:c r="C14" s="252" t="str">
        <x:v>ガス/スペーサー</x:v>
      </x:c>
      <x:c r="D14" s="298" t="str">
        <x:v>COMPLETE</x:v>
      </x:c>
      <x:c r="E14" s="252" t="str">
        <x:v>アルゴン/樹脂をAUTO_RESOLVED</x:v>
      </x:c>
      <x:c r="F14" s="253" t="str">
        <x:v>EW-EV-005,008</x:v>
      </x:c>
    </x:row>
    <x:row r="15">
      <x:c r="A15" s="251" t="str">
        <x:v>EW-QA-11</x:v>
      </x:c>
      <x:c r="B15" s="252" t="str">
        <x:v>EW-4</x:v>
      </x:c>
      <x:c r="C15" s="252" t="str">
        <x:v>地域限定ブロンズ</x:v>
      </x:c>
      <x:c r="D15" s="298" t="str">
        <x:v>COMPLETE</x:v>
      </x:c>
      <x:c r="E15" s="252" t="str">
        <x:v>北海道・東北のみ表示</x:v>
      </x:c>
      <x:c r="F15" s="253" t="str">
        <x:v>EW-EV-004,008</x:v>
      </x:c>
    </x:row>
    <x:row r="16">
      <x:c r="A16" s="251" t="str">
        <x:v>EW-QA-12</x:v>
      </x:c>
      <x:c r="B16" s="252" t="str">
        <x:v>EW-4</x:v>
      </x:c>
      <x:c r="C16" s="252" t="str">
        <x:v>追加ガラス機能・ガラス面積/戸車耐荷重</x:v>
      </x:c>
      <x:c r="D16" s="299" t="str">
        <x:v>COMPLETE_WITH_EXTERNAL_CHECK</x:v>
      </x:c>
      <x:c r="E16" s="252" t="str">
        <x:v>特殊範囲のみ公式確認</x:v>
      </x:c>
      <x:c r="F16" s="253" t="str">
        <x:v>EW-EV-008,012</x:v>
      </x:c>
    </x:row>
    <x:row r="17">
      <x:c r="A17" s="251" t="str">
        <x:v>EW-QA-13</x:v>
      </x:c>
      <x:c r="B17" s="252" t="str">
        <x:v>EW-5</x:v>
      </x:c>
      <x:c r="C17" s="252" t="str">
        <x:v>主要有償品/OP依存</x:v>
      </x:c>
      <x:c r="D17" s="298" t="str">
        <x:v>COMPLETE</x:v>
      </x:c>
      <x:c r="E17" s="252" t="str">
        <x:v>室内樹脂カバー、セレクト把手、非適用OP等</x:v>
      </x:c>
      <x:c r="F17" s="253" t="str">
        <x:v>EW-EV-009,010</x:v>
      </x:c>
    </x:row>
    <x:row r="18">
      <x:c r="A18" s="251" t="str">
        <x:v>EW-QA-14</x:v>
      </x:c>
      <x:c r="B18" s="252" t="str">
        <x:v>EW-6</x:v>
      </x:c>
      <x:c r="C18" s="252" t="str">
        <x:v>標準/内嵌め施工・現調</x:v>
      </x:c>
      <x:c r="D18" s="298" t="str">
        <x:v>COMPLETE</x:v>
      </x:c>
      <x:c r="E18" s="252" t="str">
        <x:v>3点採寸、枠見込み≤103、下枠33～48.5、見付</x:v>
      </x:c>
      <x:c r="F18" s="253" t="str">
        <x:v>EW-EV-011</x:v>
      </x:c>
    </x:row>
    <x:row r="19">
      <x:c r="A19" s="251" t="str">
        <x:v>EW-QA-15</x:v>
      </x:c>
      <x:c r="B19" s="252" t="str">
        <x:v>EW-6</x:v>
      </x:c>
      <x:c r="C19" s="252" t="str">
        <x:v>室内樹脂カバーA/B/C</x:v>
      </x:c>
      <x:c r="D19" s="298" t="str">
        <x:v>COMPLETE</x:v>
      </x:c>
      <x:c r="E19" s="252" t="str">
        <x:v>選択マスター化。数値自動推定なし</x:v>
      </x:c>
      <x:c r="F19" s="253" t="str">
        <x:v>EW-EV-005,011</x:v>
      </x:c>
    </x:row>
    <x:row r="20">
      <x:c r="A20" s="251" t="str">
        <x:v>EW-QA-16</x:v>
      </x:c>
      <x:c r="B20" s="252" t="str">
        <x:v>EW-6</x:v>
      </x:c>
      <x:c r="C20" s="252" t="str">
        <x:v>既設窓互換</x:v>
      </x:c>
      <x:c r="D20" s="298" t="str">
        <x:v>COMPLETE</x:v>
      </x:c>
      <x:c r="E20" s="252" t="str">
        <x:v>共通ルール＋EW固有禁止条件</x:v>
      </x:c>
      <x:c r="F20" s="253" t="str">
        <x:v>EW-EV-009,011</x:v>
      </x:c>
    </x:row>
    <x:row r="21">
      <x:c r="A21" s="251" t="str">
        <x:v>EW-QA-17</x:v>
      </x:c>
      <x:c r="B21" s="252" t="str">
        <x:v>EW-7</x:v>
      </x:c>
      <x:c r="C21" s="252" t="str">
        <x:v>Evidence</x:v>
      </x:c>
      <x:c r="D21" s="298" t="str">
        <x:v>COMPLETE</x:v>
      </x:c>
      <x:c r="E21" s="252" t="str">
        <x:v>EW-EV-001～012</x:v>
      </x:c>
      <x:c r="F21" s="253" t="str">
        <x:v>—</x:v>
      </x:c>
    </x:row>
    <x:row r="22">
      <x:c r="A22" s="254" t="str">
        <x:v>EW-QA-18</x:v>
      </x:c>
      <x:c r="B22" s="255" t="str">
        <x:v>Scope</x:v>
      </x:c>
      <x:c r="C22" s="255" t="str">
        <x:v>4枚建/連段/開口縮小/アングル/見込みふかし/上桟換気/小開口/枠付面格子</x:v>
      </x:c>
      <x:c r="D22" s="300" t="str">
        <x:v>NOT_APPLICABLE</x:v>
      </x:c>
      <x:c r="E22" s="255" t="str">
        <x:v>EWタイプでは候補非表示</x:v>
      </x:c>
      <x:c r="F22" s="256" t="str">
        <x:v>EW-EV-002,009,011</x:v>
      </x:c>
    </x:row>
  </x:sheetData>
  <x:mergeCells>
    <x:mergeCell ref="A1:F1"/>
    <x:mergeCell ref="A2:F2"/>
  </x:mergeCells>
  <x:conditionalFormatting sqref="D4:D20">
    <x:cfRule type="expression" dxfId="0" priority="1">
      <x:formula>D4="COMPLETE"</x:formula>
    </x:cfRule>
    <x:cfRule type="expression" dxfId="1" priority="2">
      <x:formula>D4="PARTIAL"</x:formula>
    </x:cfRule>
    <x:cfRule type="expression" dxfId="2" priority="3">
      <x:formula>D4="UNCONFIRMED"</x:formula>
    </x:cfRule>
    <x:cfRule type="expression" dxfId="3" priority="4">
      <x:formula>D4="NOT_APPLICABLE"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42" hidden="0" customWidth="1"/>
    <x:col min="5" max="5" width="20" hidden="0" customWidth="1"/>
    <x:col min="6" max="6" width="20" hidden="0" customWidth="1"/>
  </x:cols>
  <x:sheetData>
    <x:row r="1" ht="28" customHeight="1">
      <x:c r="A1" s="243" t="str">
        <x:v>04A_開口構成｜EWタイプ</x:v>
      </x:c>
      <x:c r="B1" s="243"/>
      <x:c r="C1" s="243"/>
      <x:c r="D1" s="243"/>
      <x:c r="E1" s="243"/>
      <x:c r="F1" s="243"/>
    </x:row>
    <x:row r="2" ht="34" customHeight="1">
      <x:c r="A2" s="11"/>
      <x:c r="B2" s="11"/>
      <x:c r="C2" s="11"/>
      <x:c r="D2" s="11"/>
      <x:c r="E2" s="11"/>
      <x:c r="F2" s="11"/>
    </x:row>
    <x:row r="3">
      <x:c r="A3" s="248" t="str">
        <x:v>opening_configuration_id</x:v>
      </x:c>
      <x:c r="B3" s="249" t="str">
        <x:v>名称</x:v>
      </x:c>
      <x:c r="C3" s="249" t="str">
        <x:v>variation_id</x:v>
      </x:c>
      <x:c r="D3" s="249" t="str">
        <x:v>扱い</x:v>
      </x:c>
      <x:c r="E3" s="249" t="str">
        <x:v>status</x:v>
      </x:c>
      <x:c r="F3" s="250" t="str">
        <x:v>evidence</x:v>
      </x:c>
    </x:row>
    <x:row r="4" ht="30" customHeight="1">
      <x:c r="A4" s="258" t="str">
        <x:v>SINGLE</x:v>
      </x:c>
      <x:c r="B4" s="266" t="str">
        <x:v>単窓</x:v>
      </x:c>
      <x:c r="C4" s="266" t="str">
        <x:v>RPL_EW</x:v>
      </x:c>
      <x:c r="D4" s="266" t="str">
        <x:v>今回対象</x:v>
      </x:c>
      <x:c r="E4" s="266" t="str">
        <x:v>COMPLETE</x:v>
      </x:c>
      <x:c r="F4" s="259" t="str">
        <x:v>EW-EV-002,003</x:v>
      </x:c>
    </x:row>
    <x:row r="5">
      <x:c r="A5" s="251" t="str">
        <x:v>COUPLED</x:v>
      </x:c>
      <x:c r="B5" s="252" t="str">
        <x:v>連窓</x:v>
      </x:c>
      <x:c r="C5" s="252" t="str">
        <x:v>RPL_EW</x:v>
      </x:c>
      <x:c r="D5" s="252" t="str">
        <x:v>設定なし</x:v>
      </x:c>
      <x:c r="E5" s="252" t="str">
        <x:v>NOT_APPLICABLE</x:v>
      </x:c>
      <x:c r="F5" s="253" t="str">
        <x:v>EW-EV-009</x:v>
      </x:c>
    </x:row>
    <x:row r="6">
      <x:c r="A6" s="251" t="str">
        <x:v>STACKED</x:v>
      </x:c>
      <x:c r="B6" s="252" t="str">
        <x:v>段窓</x:v>
      </x:c>
      <x:c r="C6" s="252" t="str">
        <x:v>RPL_EW</x:v>
      </x:c>
      <x:c r="D6" s="252" t="str">
        <x:v>設定なし</x:v>
      </x:c>
      <x:c r="E6" s="252" t="str">
        <x:v>NOT_APPLICABLE</x:v>
      </x:c>
      <x:c r="F6" s="253" t="str">
        <x:v>EW-EV-009</x:v>
      </x:c>
    </x:row>
    <x:row r="7">
      <x:c r="A7" s="254" t="str">
        <x:v>OPENING_REDUCTION</x:v>
      </x:c>
      <x:c r="B7" s="255" t="str">
        <x:v>開口縮小</x:v>
      </x:c>
      <x:c r="C7" s="255" t="str">
        <x:v>RPL_EW</x:v>
      </x:c>
      <x:c r="D7" s="255" t="str">
        <x:v>設定なし</x:v>
      </x:c>
      <x:c r="E7" s="255" t="str">
        <x:v>NOT_APPLICABLE</x:v>
      </x:c>
      <x:c r="F7" s="256" t="str">
        <x:v>EW-EV-009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4" max="4" width="20" hidden="0" customWidth="1"/>
    <x:col min="5" max="5" width="34" hidden="0" customWidth="1"/>
    <x:col min="6" max="6" width="24" hidden="0" customWidth="1"/>
    <x:col min="7" max="7" width="58" hidden="0" customWidth="1"/>
  </x:cols>
  <x:sheetData>
    <x:row r="1">
      <x:c r="A1" s="286" t="str">
        <x:v>11_見積入力テスト｜EWタイプ</x:v>
      </x:c>
      <x:c r="B1" s="286"/>
      <x:c r="C1" s="286"/>
      <x:c r="D1" s="286"/>
      <x:c r="E1" s="286"/>
      <x:c r="F1" s="286"/>
      <x:c r="G1" s="286"/>
    </x:row>
    <x:row r="2">
      <x:c r="A2" s="301" t="str">
        <x:v>通常案件の一次判定サンプル。内嵌め網掛け、ガラス面積/戸車耐荷重、耐風圧はCOMPLETE_WITH_EXTERNAL_CHECK。</x:v>
      </x:c>
      <x:c r="B2" s="301"/>
      <x:c r="C2" s="301"/>
      <x:c r="D2" s="301"/>
      <x:c r="E2" s="301"/>
      <x:c r="F2" s="301"/>
      <x:c r="G2" s="301"/>
    </x:row>
    <x:row r="3">
      <x:c r="A3" s="90"/>
      <x:c r="B3" s="91"/>
      <x:c r="C3" s="92"/>
      <x:c r="D3" s="91"/>
      <x:c r="E3" s="91"/>
      <x:c r="F3" s="93"/>
    </x:row>
    <x:row r="4">
      <x:c r="A4" s="272" t="str">
        <x:v>項目</x:v>
      </x:c>
      <x:c r="B4" s="272" t="str">
        <x:v>入力/算出</x:v>
      </x:c>
      <x:c r="C4" s="122"/>
      <x:c r="D4" s="272" t="str">
        <x:v>判定</x:v>
      </x:c>
      <x:c r="E4" s="272" t="str">
        <x:v>結果</x:v>
      </x:c>
      <x:c r="F4" s="272" t="str">
        <x:v>根拠</x:v>
      </x:c>
      <x:c r="G4" s="272" t="str">
        <x:v>備考</x:v>
      </x:c>
    </x:row>
    <x:row r="5">
      <x:c r="A5" s="122" t="str">
        <x:v>variation</x:v>
      </x:c>
      <x:c r="B5" s="122" t="str">
        <x:v>RPL_EW</x:v>
      </x:c>
      <x:c r="C5" s="122"/>
      <x:c r="D5" s="122" t="str">
        <x:v>基本包絡</x:v>
      </x:c>
      <x:c r="E5" s="122" t="str">
        <x:f>IF(AND(B12&gt;=666,B12&lt;=2636,B13&gt;=526,B13&lt;=1596),"包絡内","範囲外")</x:f>
        <x:v>包絡内</x:v>
      </x:c>
      <x:c r="F5" s="122" t="str">
        <x:v>EW-EV-007</x:v>
      </x:c>
      <x:c r="G5" s="122" t="str">
        <x:v>05_サイズルール</x:v>
      </x:c>
    </x:row>
    <x:row r="6">
      <x:c r="A6" s="122" t="str">
        <x:v>窓種</x:v>
      </x:c>
      <x:c r="B6" s="122" t="str">
        <x:v>RPL_EW_SLD</x:v>
      </x:c>
      <x:c r="C6" s="122"/>
      <x:c r="D6" s="122" t="str">
        <x:v>境界式</x:v>
      </x:c>
      <x:c r="E6" s="122" t="str">
        <x:f>IF(B12&lt;=1158,IF(B13&lt;=1.4*(B12-36)+26,"境界内","境界外"),IF(B13&lt;=1596,"境界内","境界外"))</x:f>
        <x:v>境界内</x:v>
      </x:c>
      <x:c r="F6" s="122" t="str">
        <x:v>EW-EV-007</x:v>
      </x:c>
      <x:c r="G6" s="122" t="str">
        <x:v>05A_サイズ区間</x:v>
      </x:c>
    </x:row>
    <x:row r="7">
      <x:c r="A7" s="122" t="str">
        <x:v>建数</x:v>
      </x:c>
      <x:c r="B7" s="122" t="str">
        <x:v>2枚建</x:v>
      </x:c>
      <x:c r="C7" s="122"/>
      <x:c r="D7" s="122" t="str">
        <x:v>ガラス連動</x:v>
      </x:c>
      <x:c r="E7" s="122" t="str">
        <x:f>IF(OR(AND(B9="PG障子",B16="EW-GL-DOUBLE"),AND(B9="TG障子",B16="EW-GL-TRIPLE"),AND(B9="PGセレクト障子",B16="EW-GL-DOUBLE"),AND(B9="TGセレクト障子",B16="EW-GL-TRIPLE")),"整合","不整合")</x:f>
        <x:v>整合</x:v>
      </x:c>
      <x:c r="F7" s="122" t="str">
        <x:v>EW-EV-005,008</x:v>
      </x:c>
      <x:c r="G7" s="122" t="str">
        <x:v>障子→ガラス大分類</x:v>
      </x:c>
    </x:row>
    <x:row r="8">
      <x:c r="A8" s="122" t="str">
        <x:v>高さ区分</x:v>
      </x:c>
      <x:c r="B8" s="122" t="str">
        <x:v>マド</x:v>
      </x:c>
      <x:c r="C8" s="122"/>
      <x:c r="D8" s="122" t="str">
        <x:v>網戸</x:v>
      </x:c>
      <x:c r="E8" s="122" t="str">
        <x:v>可</x:v>
      </x:c>
      <x:c r="F8" s="122" t="str">
        <x:v>EW-EV-004,011</x:v>
      </x:c>
      <x:c r="G8" s="122" t="str">
        <x:v>中桟選択なし</x:v>
      </x:c>
    </x:row>
    <x:row r="9">
      <x:c r="A9" s="122" t="str">
        <x:v>障子</x:v>
      </x:c>
      <x:c r="B9" s="122" t="str">
        <x:v>PG障子</x:v>
      </x:c>
      <x:c r="C9" s="122"/>
      <x:c r="D9" s="122" t="str">
        <x:v>ガス/スペーサー</x:v>
      </x:c>
      <x:c r="E9" s="122" t="str">
        <x:v>アルゴン＋樹脂を自動解決</x:v>
      </x:c>
      <x:c r="F9" s="122" t="str">
        <x:v>EW-EV-005,008</x:v>
      </x:c>
      <x:c r="G9" s="122" t="str">
        <x:v>AUTO_RESOLVED</x:v>
      </x:c>
    </x:row>
    <x:row r="10">
      <x:c r="A10" s="122" t="str">
        <x:v>採寸W (WS)</x:v>
      </x:c>
      <x:c r="B10" s="123" t="n">
        <x:v>1650</x:v>
      </x:c>
      <x:c r="C10" s="122"/>
      <x:c r="D10" s="122" t="str">
        <x:v>最終</x:v>
      </x:c>
      <x:c r="E10" s="122" t="str">
        <x:f>IF(AND(E5="包絡内",E6="境界内",E7="整合"),"通常候補として確定可","要確認")</x:f>
        <x:v>通常候補として確定可</x:v>
      </x:c>
      <x:c r="F10" s="122" t="str">
        <x:v>共通仕様</x:v>
      </x:c>
      <x:c r="G10" s="122" t="str">
        <x:v>特殊境界以外は自動判定</x:v>
      </x:c>
    </x:row>
    <x:row r="11">
      <x:c r="A11" s="122" t="str">
        <x:v>採寸H (HS)</x:v>
      </x:c>
      <x:c r="B11" s="123" t="n">
        <x:v>1100</x:v>
      </x:c>
      <x:c r="C11" s="122"/>
      <x:c r="D11" s="122"/>
      <x:c r="E11" s="122"/>
      <x:c r="F11" s="122"/>
      <x:c r="G11" s="122"/>
    </x:row>
    <x:row r="12">
      <x:c r="A12" s="122" t="str">
        <x:v>出来寸W (WD)</x:v>
      </x:c>
      <x:c r="B12" s="123" t="n">
        <x:f>B10-10</x:f>
        <x:v>1640</x:v>
      </x:c>
      <x:c r="C12" s="122"/>
      <x:c r="D12" s="122"/>
      <x:c r="E12" s="122"/>
      <x:c r="F12" s="122"/>
      <x:c r="G12" s="122"/>
    </x:row>
    <x:row r="13">
      <x:c r="A13" s="122" t="str">
        <x:v>出来寸H (HD)</x:v>
      </x:c>
      <x:c r="B13" s="123" t="n">
        <x:f>B11-10</x:f>
        <x:v>1090</x:v>
      </x:c>
      <x:c r="C13" s="122"/>
      <x:c r="D13" s="122"/>
      <x:c r="E13" s="122"/>
      <x:c r="F13" s="122"/>
      <x:c r="G13" s="122"/>
    </x:row>
    <x:row r="14">
      <x:c r="A14" s="122" t="str">
        <x:v>網戸</x:v>
      </x:c>
      <x:c r="B14" s="122" t="str">
        <x:v>EW-SCR-SLIDING</x:v>
      </x:c>
      <x:c r="C14" s="122"/>
      <x:c r="D14" s="122"/>
      <x:c r="E14" s="122"/>
      <x:c r="F14" s="122"/>
      <x:c r="G14" s="122"/>
    </x:row>
    <x:row r="15">
      <x:c r="A15" s="122" t="str">
        <x:v>ネット</x:v>
      </x:c>
      <x:c r="B15" s="122" t="str">
        <x:v>標準</x:v>
      </x:c>
      <x:c r="C15" s="122"/>
      <x:c r="D15" s="122"/>
      <x:c r="E15" s="122"/>
      <x:c r="F15" s="122"/>
      <x:c r="G15" s="122"/>
    </x:row>
    <x:row r="16">
      <x:c r="A16" s="122" t="str">
        <x:v>ガラス大分類</x:v>
      </x:c>
      <x:c r="B16" s="122" t="str">
        <x:v>EW-GL-DOUBLE</x:v>
      </x:c>
      <x:c r="C16" s="122"/>
      <x:c r="D16" s="122"/>
      <x:c r="E16" s="122"/>
      <x:c r="F16" s="122"/>
      <x:c r="G16" s="122"/>
    </x:row>
    <x:row r="17">
      <x:c r="A17" s="122" t="str">
        <x:v>Low-E詳細</x:v>
      </x:c>
      <x:c r="B17" s="122" t="str">
        <x:v>EW-D-CLEAR</x:v>
      </x:c>
      <x:c r="C17" s="122"/>
      <x:c r="D17" s="122"/>
      <x:c r="E17" s="122"/>
      <x:c r="F17" s="122"/>
      <x:c r="G17" s="122"/>
    </x:row>
    <x:row r="18">
      <x:c r="A18" s="122" t="str">
        <x:v>ガス</x:v>
      </x:c>
      <x:c r="B18" s="122" t="str">
        <x:v>EW-GAS-ARGON</x:v>
      </x:c>
      <x:c r="C18" s="122"/>
      <x:c r="D18" s="122"/>
      <x:c r="E18" s="122"/>
      <x:c r="F18" s="122"/>
      <x:c r="G18" s="122"/>
    </x:row>
  </x:sheetData>
  <x:mergeCells>
    <x:mergeCell ref="A1:F1"/>
    <x:mergeCell ref="A2:F2"/>
    <x:mergeCell ref="A1:G1"/>
    <x:mergeCell ref="A2:G2"/>
  </x:mergeCells>
  <x:dataValidations count="9">
    <x:dataValidation type="list" sqref="B6">
      <x:formula1>"RPL_ROOM_SLD,RPL_ROOM_VS_OP,RPL_ROOM_VS_CAM,RPL_ROOM_HS_OP,RPL_ROOM_HS_CAM,RPL_ROOM_DHFS,RPL_ROOM_FIX_OUT,RPL_ROOM_FIX_IN"</x:formula1>
    </x:dataValidation>
    <x:dataValidation type="list" sqref="B7">
      <x:formula1>"2枚建,4枚建"</x:formula1>
    </x:dataValidation>
    <x:dataValidation type="list" sqref="B8">
      <x:formula1>"マド,テラス"</x:formula1>
    </x:dataValidation>
    <x:dataValidation type="list" sqref="B9">
      <x:formula1>"PG障子,TG障子,PGセレクト障子,TGセレクト障子"</x:formula1>
    </x:dataValidation>
    <x:dataValidation type="list" sqref="B15">
      <x:formula1>"標準,きれい,虫イヤ,ペット"</x:formula1>
    </x:dataValidation>
    <x:dataValidation type="list" sqref="B16">
      <x:formula1>"EW-GL-DOUBLE,EW-GL-TRIPLE"</x:formula1>
    </x:dataValidation>
    <x:dataValidation type="list" sqref="B14">
      <x:formula1>"EW-SCR-NONE,EW-SCR-SLIDING"</x:formula1>
    </x:dataValidation>
    <x:dataValidation type="list" sqref="B17">
      <x:formula1>"EW-D-CLEAR,EW-D-GREEN,EW-D-GREEN-HS,EW-D-BRONZE,EW-T-CC,EW-T-GG,EW-T-CG,EW-T-CB,EW-T-GENERAL-CLEAR"</x:formula1>
    </x:dataValidation>
    <x:dataValidation type="list" sqref="B18">
      <x:formula1>"EW-D-CLEAR,EW-D-GREEN,EW-D-GREEN-HS,EW-D-BRONZE,EW-T-CC,EW-T-GG,EW-T-CG,EW-T-CB,EW-T-GENERAL-CLEAR"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38" hidden="0" customWidth="1"/>
    <x:col min="7" max="7" width="30" hidden="0" customWidth="1"/>
    <x:col min="8" max="8" width="22" hidden="0" customWidth="1"/>
    <x:col min="9" max="9" width="18" hidden="0" customWidth="1"/>
  </x:cols>
  <x:sheetData>
    <x:row r="1">
      <x:c r="A1" s="243" t="str">
        <x:v>10C_化粧カバー見付｜EWタイプ</x:v>
      </x:c>
      <x:c r="B1" s="243"/>
      <x:c r="C1" s="243"/>
      <x:c r="D1" s="243"/>
      <x:c r="E1" s="243"/>
      <x:c r="F1" s="243"/>
      <x:c r="G1" s="243"/>
      <x:c r="H1" s="243"/>
      <x:c r="I1" s="127"/>
    </x:row>
    <x:row r="2" ht="36" customHeight="1">
      <x:c r="A2" s="179"/>
      <x:c r="B2" s="179"/>
      <x:c r="C2" s="179"/>
      <x:c r="D2" s="179"/>
      <x:c r="E2" s="179"/>
      <x:c r="F2" s="179"/>
      <x:c r="G2" s="179"/>
      <x:c r="H2" s="179"/>
      <x:c r="I2" s="133"/>
    </x:row>
    <x:row r="3">
      <x:c r="A3" s="248" t="str">
        <x:v>rule_id</x:v>
      </x:c>
      <x:c r="B3" s="249" t="str">
        <x:v>cover_type</x:v>
      </x:c>
      <x:c r="C3" s="249" t="str">
        <x:v>上枠見付</x:v>
      </x:c>
      <x:c r="D3" s="249" t="str">
        <x:v>下枠見付</x:v>
      </x:c>
      <x:c r="E3" s="249" t="str">
        <x:v>縦枠見付</x:v>
      </x:c>
      <x:c r="F3" s="249" t="str">
        <x:v>施工区分</x:v>
      </x:c>
      <x:c r="G3" s="249" t="str">
        <x:v>status</x:v>
      </x:c>
      <x:c r="H3" s="250" t="str">
        <x:v>evidence</x:v>
      </x:c>
    </x:row>
    <x:row r="4">
      <x:c r="A4" s="258" t="str">
        <x:v>EW-COV-LARGE</x:v>
      </x:c>
      <x:c r="B4" s="266" t="str">
        <x:v>大</x:v>
      </x:c>
      <x:c r="C4" s="266" t="str">
        <x:v>上≤84.5</x:v>
      </x:c>
      <x:c r="D4" s="266" t="str">
        <x:v>下≤98.5</x:v>
      </x:c>
      <x:c r="E4" s="266" t="str">
        <x:v>縦≤82.5</x:v>
      </x:c>
      <x:c r="F4" s="266" t="str">
        <x:v>標準施工</x:v>
      </x:c>
      <x:c r="G4" s="266" t="str">
        <x:v>COMPLETE</x:v>
      </x:c>
      <x:c r="H4" s="259" t="str">
        <x:v>EW-EV-011</x:v>
      </x:c>
      <x:c r="I4" s="143"/>
    </x:row>
    <x:row r="5">
      <x:c r="A5" s="251" t="str">
        <x:v>EW-COV-MID</x:v>
      </x:c>
      <x:c r="B5" s="252" t="str">
        <x:v>中</x:v>
      </x:c>
      <x:c r="C5" s="252" t="str">
        <x:v>上≤49.5</x:v>
      </x:c>
      <x:c r="D5" s="252" t="str">
        <x:v>下≤63.5</x:v>
      </x:c>
      <x:c r="E5" s="252" t="str">
        <x:v>縦≤32.5</x:v>
      </x:c>
      <x:c r="F5" s="252" t="str">
        <x:v>標準施工</x:v>
      </x:c>
      <x:c r="G5" s="252" t="str">
        <x:v>COMPLETE</x:v>
      </x:c>
      <x:c r="H5" s="253" t="str">
        <x:v>EW-EV-011</x:v>
      </x:c>
      <x:c r="I5" s="146"/>
    </x:row>
    <x:row r="6">
      <x:c r="A6" s="251" t="str">
        <x:v>EW-COV-SMALL</x:v>
      </x:c>
      <x:c r="B6" s="252" t="str">
        <x:v>小</x:v>
      </x:c>
      <x:c r="C6" s="252" t="str">
        <x:v>上≤24.5</x:v>
      </x:c>
      <x:c r="D6" s="252" t="str">
        <x:v>下≤38.5</x:v>
      </x:c>
      <x:c r="E6" s="252" t="str">
        <x:v>縦≤7.5</x:v>
      </x:c>
      <x:c r="F6" s="252" t="str">
        <x:v>標準/内嵌め候補</x:v>
      </x:c>
      <x:c r="G6" s="252" t="str">
        <x:v>COMPLETE</x:v>
      </x:c>
      <x:c r="H6" s="253" t="str">
        <x:v>EW-EV-011</x:v>
      </x:c>
      <x:c r="I6" s="146"/>
    </x:row>
    <x:row r="7">
      <x:c r="A7" s="254" t="str">
        <x:v>EW-COV-XS</x:v>
      </x:c>
      <x:c r="B7" s="255" t="str">
        <x:v>特小</x:v>
      </x:c>
      <x:c r="C7" s="255" t="str">
        <x:v>上≤24.5</x:v>
      </x:c>
      <x:c r="D7" s="255" t="str">
        <x:v>下≤38.5</x:v>
      </x:c>
      <x:c r="E7" s="255" t="str">
        <x:v>縦=個別現調</x:v>
      </x:c>
      <x:c r="F7" s="255" t="str">
        <x:v>内嵌め・雨戸/シャッター等</x:v>
      </x:c>
      <x:c r="G7" s="255" t="str">
        <x:v>COMPLETE_WITH_EXTERNAL_CHECK</x:v>
      </x:c>
      <x:c r="H7" s="256" t="str">
        <x:v>EW-EV-011</x:v>
      </x:c>
      <x:c r="I7" s="146"/>
    </x:row>
    <x:row r="8">
      <x:c r="A8" s="184"/>
      <x:c r="B8" s="185"/>
      <x:c r="C8" s="185"/>
      <x:c r="D8" s="185"/>
      <x:c r="E8" s="185"/>
      <x:c r="F8" s="185"/>
      <x:c r="G8" s="185"/>
      <x:c r="H8" s="186"/>
      <x:c r="I8" s="146"/>
    </x:row>
    <x:row r="9">
      <x:c r="A9" s="184"/>
      <x:c r="B9" s="185"/>
      <x:c r="C9" s="185"/>
      <x:c r="D9" s="185"/>
      <x:c r="E9" s="185"/>
      <x:c r="F9" s="185"/>
      <x:c r="G9" s="185"/>
      <x:c r="H9" s="186"/>
      <x:c r="I9" s="146"/>
    </x:row>
    <x:row r="10">
      <x:c r="A10" s="184"/>
      <x:c r="B10" s="185"/>
      <x:c r="C10" s="185"/>
      <x:c r="D10" s="185"/>
      <x:c r="E10" s="185"/>
      <x:c r="F10" s="185"/>
      <x:c r="G10" s="185"/>
      <x:c r="H10" s="186"/>
      <x:c r="I10" s="146"/>
    </x:row>
    <x:row r="11">
      <x:c r="A11" s="187"/>
      <x:c r="B11" s="188"/>
      <x:c r="C11" s="188"/>
      <x:c r="D11" s="188"/>
      <x:c r="E11" s="188"/>
      <x:c r="F11" s="188"/>
      <x:c r="G11" s="188"/>
      <x:c r="H11" s="189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4"/>
      <x:c r="B13" s="145"/>
      <x:c r="C13" s="145"/>
      <x:c r="D13" s="145"/>
      <x:c r="E13" s="145"/>
      <x:c r="F13" s="145"/>
      <x:c r="G13" s="145"/>
      <x:c r="H13" s="145"/>
      <x:c r="I13" s="146"/>
    </x:row>
    <x:row r="14">
      <x:c r="A14" s="144"/>
      <x:c r="B14" s="145"/>
      <x:c r="C14" s="145"/>
      <x:c r="D14" s="145"/>
      <x:c r="E14" s="145"/>
      <x:c r="F14" s="145"/>
      <x:c r="G14" s="145"/>
      <x:c r="H14" s="145"/>
      <x:c r="I14" s="146"/>
    </x:row>
    <x:row r="15">
      <x:c r="A15" s="144"/>
      <x:c r="B15" s="145"/>
      <x:c r="C15" s="145"/>
      <x:c r="D15" s="145"/>
      <x:c r="E15" s="145"/>
      <x:c r="F15" s="145"/>
      <x:c r="G15" s="145"/>
      <x:c r="H15" s="145"/>
      <x:c r="I15" s="146"/>
    </x:row>
    <x:row r="16">
      <x:c r="A16" s="147"/>
      <x:c r="B16" s="148"/>
      <x:c r="C16" s="148"/>
      <x:c r="D16" s="148"/>
      <x:c r="E16" s="148"/>
      <x:c r="F16" s="148"/>
      <x:c r="G16" s="148"/>
      <x:c r="H16" s="148"/>
      <x:c r="I16" s="149"/>
    </x:row>
  </x:sheetData>
  <x:mergeCells>
    <x:mergeCell ref="A1:I1"/>
    <x:mergeCell ref="A2:I2"/>
    <x:mergeCell ref="A1:H1"/>
    <x:mergeCell ref="A2:H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34" hidden="0" customWidth="1"/>
    <x:col min="4" max="4" width="26" hidden="0" customWidth="1"/>
    <x:col min="5" max="5" width="62" hidden="0" customWidth="1"/>
    <x:col min="6" max="6" width="20" hidden="0" customWidth="1"/>
    <x:col min="7" max="7" width="58" hidden="0" customWidth="1"/>
    <x:col min="8" max="8" width="18" hidden="0" customWidth="1"/>
  </x:cols>
  <x:sheetData>
    <x:row r="1">
      <x:c r="A1" s="243" t="str">
        <x:v>12_共通参照｜EWタイプ</x:v>
      </x:c>
      <x:c r="B1" s="243"/>
      <x:c r="C1" s="243"/>
      <x:c r="D1" s="243"/>
      <x:c r="E1" s="243"/>
      <x:c r="F1" s="243"/>
      <x:c r="G1" s="243"/>
      <x:c r="H1" s="243"/>
    </x:row>
    <x:row r="3">
      <x:c r="A3" s="248" t="str">
        <x:v>shared_rule_id</x:v>
      </x:c>
      <x:c r="B3" s="249" t="str">
        <x:v>内容</x:v>
      </x:c>
      <x:c r="C3" s="249" t="str">
        <x:v>参照元</x:v>
      </x:c>
      <x:c r="D3" s="249" t="str">
        <x:v>参照シート</x:v>
      </x:c>
      <x:c r="E3" s="249" t="str">
        <x:v>reference_url</x:v>
      </x:c>
      <x:c r="F3" s="249" t="str">
        <x:v>relation</x:v>
      </x:c>
      <x:c r="G3" s="249" t="str">
        <x:v>EW側の扱い</x:v>
      </x:c>
      <x:c r="H3" s="250" t="str">
        <x:v>status</x:v>
      </x:c>
    </x:row>
    <x:row r="4">
      <x:c r="A4" s="251" t="str">
        <x:v>SHARED-RPL-STRUCTURE-FIRE</x:v>
      </x:c>
      <x:c r="B4" s="252" t="str">
        <x:v>構造/防火基本条件</x:v>
      </x:c>
      <x:c r="C4" s="252" t="str">
        <x:v>居室仕様 v1.0 完成版</x:v>
      </x:c>
      <x:c r="D4" s="252" t="str">
        <x:v>10_適用条件</x:v>
      </x:c>
      <x:c r="E4" s="252" t="str">
        <x:v>https://drive.google.com/file/d/1uTlmHsO_czluTsfdpGMarw_q8qe43cp9/view</x:v>
      </x:c>
      <x:c r="F4" s="252" t="str">
        <x:v>REFERENCE</x:v>
      </x:c>
      <x:c r="G4" s="252" t="str">
        <x:v>EW専用現調条件で上書き</x:v>
      </x:c>
      <x:c r="H4" s="253" t="str">
        <x:v>COMPLETE</x:v>
      </x:c>
    </x:row>
    <x:row r="5">
      <x:c r="A5" s="251" t="str">
        <x:v>SHARED-RPL-EXISTING-COMPAT</x:v>
      </x:c>
      <x:c r="B5" s="252" t="str">
        <x:v>既設窓基本互換</x:v>
      </x:c>
      <x:c r="C5" s="252" t="str">
        <x:v>居室仕様 v1.0 完成版</x:v>
      </x:c>
      <x:c r="D5" s="252" t="str">
        <x:v>10A_既設窓互換</x:v>
      </x:c>
      <x:c r="E5" s="252" t="str">
        <x:v>https://drive.google.com/file/d/1uTlmHsO_czluTsfdpGMarw_q8qe43cp9/view</x:v>
      </x:c>
      <x:c r="F5" s="252" t="str">
        <x:v>REFERENCE</x:v>
      </x:c>
      <x:c r="G5" s="252" t="str">
        <x:v>EW固有禁止条件を追加</x:v>
      </x:c>
      <x:c r="H5" s="253" t="str">
        <x:v>COMPLETE</x:v>
      </x:c>
    </x:row>
    <x:row r="6">
      <x:c r="A6" s="251" t="str">
        <x:v>SHARED-COMMON-SPEC</x:v>
      </x:c>
      <x:c r="B6" s="252" t="str">
        <x:v>サッシ商品マスター共通仕様</x:v>
      </x:c>
      <x:c r="C6" s="252" t="str">
        <x:v>共通仕様書_v0.1</x:v>
      </x:c>
      <x:c r="D6" s="252" t="str">
        <x:v>全体</x:v>
      </x:c>
      <x:c r="E6" s="252" t="str">
        <x:v>https://docs.google.com/document/d/1MfixkbV1cZ__DtBknEKsix_nnrXQqjc-LZtXUHwJv_A/edit</x:v>
      </x:c>
      <x:c r="F6" s="252" t="str">
        <x:v>REFERENCE</x:v>
      </x:c>
      <x:c r="G6" s="252" t="str">
        <x:v>UI非表示・Evidence・外部確認方針</x:v>
      </x:c>
      <x:c r="H6" s="253" t="str">
        <x:v>COMPLETE</x:v>
      </x:c>
    </x:row>
    <x:row r="7">
      <x:c r="A7" s="254" t="str">
        <x:v>REFERENCE-RPL-TW</x:v>
      </x:c>
      <x:c r="B7" s="255" t="str">
        <x:v>TWタイプ完成版</x:v>
      </x:c>
      <x:c r="C7" s="255" t="str">
        <x:v>TWタイプ v1.0 完成版</x:v>
      </x:c>
      <x:c r="D7" s="255" t="str">
        <x:v>全体</x:v>
      </x:c>
      <x:c r="E7" s="255" t="str">
        <x:v>https://drive.google.com/file/d/1LYznqKExqc4rkII0g3vj27bpjbPufToU/view</x:v>
      </x:c>
      <x:c r="F7" s="255" t="str">
        <x:v>REFERENCE_ONLY</x:v>
      </x:c>
      <x:c r="G7" s="255" t="str">
        <x:v>構造思想のみ。仕様値は流用しない</x:v>
      </x:c>
      <x:c r="H7" s="256" t="str">
        <x:v>COMPLETE</x:v>
      </x:c>
    </x:row>
  </x:sheetData>
  <x:mergeCells>
    <x:mergeCell ref="A1:H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0" hidden="0" customWidth="1"/>
    <x:col min="5" max="5" width="20" hidden="0" customWidth="1"/>
    <x:col min="6" max="6" width="18" hidden="0" customWidth="1"/>
    <x:col min="7" max="7" width="22" hidden="0" customWidth="1"/>
  </x:cols>
  <x:sheetData>
    <x:row r="1">
      <x:c r="A1" s="243" t="str">
        <x:v>08B_地域条件｜EWタイプ ガラス地域制限</x:v>
      </x:c>
      <x:c r="B1" s="243"/>
      <x:c r="C1" s="243"/>
      <x:c r="D1" s="243"/>
      <x:c r="E1" s="243"/>
      <x:c r="F1" s="243"/>
      <x:c r="G1" s="243"/>
    </x:row>
    <x:row r="3">
      <x:c r="A3" s="248" t="str">
        <x:v>rule_id</x:v>
      </x:c>
      <x:c r="B3" s="249" t="str">
        <x:v>glass_id</x:v>
      </x:c>
      <x:c r="C3" s="249" t="str">
        <x:v>region_scope</x:v>
      </x:c>
      <x:c r="D3" s="249" t="str">
        <x:v>result</x:v>
      </x:c>
      <x:c r="E3" s="249" t="str">
        <x:v>ui_action</x:v>
      </x:c>
      <x:c r="F3" s="249" t="str">
        <x:v>status</x:v>
      </x:c>
      <x:c r="G3" s="250" t="str">
        <x:v>evidence</x:v>
      </x:c>
    </x:row>
    <x:row r="4">
      <x:c r="A4" s="251" t="str">
        <x:v>EW-RG-001</x:v>
      </x:c>
      <x:c r="B4" s="252" t="str">
        <x:v>EW-D-BRONZE</x:v>
      </x:c>
      <x:c r="C4" s="252" t="str">
        <x:v>北海道・東北</x:v>
      </x:c>
      <x:c r="D4" s="252" t="str">
        <x:v>AVAILABLE</x:v>
      </x:c>
      <x:c r="E4" s="252" t="str">
        <x:v>SHOW</x:v>
      </x:c>
      <x:c r="F4" s="252" t="str">
        <x:v>COMPLETE</x:v>
      </x:c>
      <x:c r="G4" s="253" t="str">
        <x:v>EW-EV-004,008</x:v>
      </x:c>
    </x:row>
    <x:row r="5">
      <x:c r="A5" s="251" t="str">
        <x:v>EW-RG-002</x:v>
      </x:c>
      <x:c r="B5" s="252" t="str">
        <x:v>EW-D-BRONZE</x:v>
      </x:c>
      <x:c r="C5" s="252" t="str">
        <x:v>その他地域</x:v>
      </x:c>
      <x:c r="D5" s="252" t="str">
        <x:v>UNAVAILABLE</x:v>
      </x:c>
      <x:c r="E5" s="252" t="str">
        <x:v>HIDE</x:v>
      </x:c>
      <x:c r="F5" s="252" t="str">
        <x:v>COMPLETE</x:v>
      </x:c>
      <x:c r="G5" s="253" t="str">
        <x:v>EW-EV-004,008</x:v>
      </x:c>
    </x:row>
    <x:row r="6">
      <x:c r="A6" s="251" t="str">
        <x:v>EW-RG-003</x:v>
      </x:c>
      <x:c r="B6" s="252" t="str">
        <x:v>EW-T-CB</x:v>
      </x:c>
      <x:c r="C6" s="252" t="str">
        <x:v>北海道・東北</x:v>
      </x:c>
      <x:c r="D6" s="252" t="str">
        <x:v>AVAILABLE</x:v>
      </x:c>
      <x:c r="E6" s="252" t="str">
        <x:v>SHOW</x:v>
      </x:c>
      <x:c r="F6" s="252" t="str">
        <x:v>COMPLETE</x:v>
      </x:c>
      <x:c r="G6" s="253" t="str">
        <x:v>EW-EV-004,008</x:v>
      </x:c>
    </x:row>
    <x:row r="7">
      <x:c r="A7" s="254" t="str">
        <x:v>EW-RG-004</x:v>
      </x:c>
      <x:c r="B7" s="255" t="str">
        <x:v>EW-T-CB</x:v>
      </x:c>
      <x:c r="C7" s="255" t="str">
        <x:v>その他地域</x:v>
      </x:c>
      <x:c r="D7" s="255" t="str">
        <x:v>UNAVAILABLE</x:v>
      </x:c>
      <x:c r="E7" s="255" t="str">
        <x:v>HIDE</x:v>
      </x:c>
      <x:c r="F7" s="255" t="str">
        <x:v>COMPLETE</x:v>
      </x:c>
      <x:c r="G7" s="256" t="str">
        <x:v>EW-EV-004,008</x:v>
      </x:c>
    </x:row>
  </x:sheetData>
  <x:mergeCells>
    <x:mergeCell ref="A1:G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18" hidden="0" customWidth="1"/>
    <x:col min="8" max="8" width="22" hidden="0" customWidth="1"/>
  </x:cols>
  <x:sheetData>
    <x:row r="1">
      <x:c r="A1" s="243" t="str">
        <x:v>09B_室内樹脂カバー｜EWタイプ</x:v>
      </x:c>
      <x:c r="B1" s="243"/>
      <x:c r="C1" s="243"/>
      <x:c r="D1" s="243"/>
      <x:c r="E1" s="243"/>
      <x:c r="F1" s="243"/>
      <x:c r="G1" s="243"/>
      <x:c r="H1" s="243"/>
    </x:row>
    <x:row r="2" ht="38" customHeight="1">
      <x:c r="A2" s="244" t="str">
        <x:v>A/B/Cは室内仕上げ・納まりに応じて選択。公式資料に数値自動判定式がないため、推測で自動選択しない。</x:v>
      </x:c>
      <x:c r="B2" s="244"/>
      <x:c r="C2" s="244"/>
      <x:c r="D2" s="244"/>
      <x:c r="E2" s="244"/>
      <x:c r="F2" s="244"/>
      <x:c r="G2" s="244"/>
      <x:c r="H2" s="244"/>
    </x:row>
    <x:row r="4">
      <x:c r="A4" s="248" t="str">
        <x:v>cover_id</x:v>
      </x:c>
      <x:c r="B4" s="249" t="str">
        <x:v>公式名称</x:v>
      </x:c>
      <x:c r="C4" s="249" t="str">
        <x:v>上部</x:v>
      </x:c>
      <x:c r="D4" s="249" t="str">
        <x:v>下部</x:v>
      </x:c>
      <x:c r="E4" s="249" t="str">
        <x:v>縦部</x:v>
      </x:c>
      <x:c r="F4" s="249" t="str">
        <x:v>selection_role</x:v>
      </x:c>
      <x:c r="G4" s="249" t="str">
        <x:v>status</x:v>
      </x:c>
      <x:c r="H4" s="250" t="str">
        <x:v>evidence</x:v>
      </x:c>
    </x:row>
    <x:row r="5">
      <x:c r="A5" s="251" t="str">
        <x:v>EW-IRC-A</x:v>
      </x:c>
      <x:c r="B5" s="252" t="str">
        <x:v>見付A</x:v>
      </x:c>
      <x:c r="C5" s="252" t="str">
        <x:v>小</x:v>
      </x:c>
      <x:c r="D5" s="252" t="str">
        <x:v>小</x:v>
      </x:c>
      <x:c r="E5" s="252" t="str">
        <x:v>小</x:v>
      </x:c>
      <x:c r="F5" s="252" t="str">
        <x:v>USER_SELECT</x:v>
      </x:c>
      <x:c r="G5" s="252" t="str">
        <x:v>COMPLETE</x:v>
      </x:c>
      <x:c r="H5" s="253" t="str">
        <x:v>EW-EV-005,011</x:v>
      </x:c>
    </x:row>
    <x:row r="6">
      <x:c r="A6" s="251" t="str">
        <x:v>EW-IRC-B</x:v>
      </x:c>
      <x:c r="B6" s="252" t="str">
        <x:v>見付B</x:v>
      </x:c>
      <x:c r="C6" s="252" t="str">
        <x:v>大</x:v>
      </x:c>
      <x:c r="D6" s="252" t="str">
        <x:v>小</x:v>
      </x:c>
      <x:c r="E6" s="252" t="str">
        <x:v>小</x:v>
      </x:c>
      <x:c r="F6" s="252" t="str">
        <x:v>USER_SELECT</x:v>
      </x:c>
      <x:c r="G6" s="252" t="str">
        <x:v>COMPLETE</x:v>
      </x:c>
      <x:c r="H6" s="253" t="str">
        <x:v>EW-EV-005,011</x:v>
      </x:c>
    </x:row>
    <x:row r="7">
      <x:c r="A7" s="254" t="str">
        <x:v>EW-IRC-C</x:v>
      </x:c>
      <x:c r="B7" s="255" t="str">
        <x:v>見付C</x:v>
      </x:c>
      <x:c r="C7" s="255" t="str">
        <x:v>大</x:v>
      </x:c>
      <x:c r="D7" s="255" t="str">
        <x:v>大</x:v>
      </x:c>
      <x:c r="E7" s="255" t="str">
        <x:v>小</x:v>
      </x:c>
      <x:c r="F7" s="255" t="str">
        <x:v>USER_SELECT</x:v>
      </x:c>
      <x:c r="G7" s="255" t="str">
        <x:v>COMPLETE</x:v>
      </x:c>
      <x:c r="H7" s="256" t="str">
        <x:v>EW-EV-005,011</x:v>
      </x:c>
    </x:row>
  </x:sheetData>
  <x:mergeCells>
    <x:mergeCell ref="A1:H1"/>
    <x:mergeCell ref="A2:H2"/>
  </x:mergeCells>
  <x:pageMargins left="0.7" right="0.7" top="0.75" bottom="0.75" header="0.3" footer="0.3"/>
</x:worksheet>
</file>