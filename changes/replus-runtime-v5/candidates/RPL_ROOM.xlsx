
<file path=[Content_Types].xml><?xml version="1.0" encoding="utf-8"?>
<ns0:Types xmlns:ns0="http://schemas.openxmlformats.org/package/2006/content-types">
  <ns0:Default Extension="xml" ContentType="application/vnd.openxmlformats-officedocument.spreadsheetml.sheet.main+xml"/>
  <ns0:Default Extension="rels" ContentType="application/vnd.openxmlformats-package.relationships+xml"/>
  <ns0:Override PartName="/xl/styles.xml" ContentType="application/vnd.openxmlformats-officedocument.spreadsheetml.styles+xml"/>
  <ns0:Override PartName="/xl/theme/theme1.xml" ContentType="application/vnd.openxmlformats-officedocument.theme+xml"/>
  <ns0:Override PartName="/xl/featurePropertyBag/featurePropertyBag.xml" ContentType="application/vnd.ms-excel.featurepropertybag+xml"/>
  <ns0:Override PartName="/xl/sharedStrings.xml" ContentType="application/vnd.openxmlformats-officedocument.spreadsheetml.sharedString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2.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6.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19.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5.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replus-ui-v9.xml" ContentType="application/vnd.openxmlformats-officedocument.spreadsheetml.worksheet+xml"/>
</ns0: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workbook xmlns="http://schemas.openxmlformats.org/spreadsheetml/2006/main" xmlns:r="http://schemas.openxmlformats.org/officeDocument/2006/relationships">
  <sheets>
    <sheet name="90_Evidence" sheetId="1" r:id="R56857d669630409a"/>
    <sheet name="00_INDEX" sheetId="2" r:id="R027c787beb294f5d"/>
    <sheet name="00_README" sheetId="3" r:id="R36e7744c9df14a75"/>
    <sheet name="01_入力フロー" sheetId="4" r:id="R188f2361751f4e3d"/>
    <sheet name="02_取替方式" sheetId="5" r:id="Rdb1b859c5b664f12"/>
    <sheet name="02A_仕様区分" sheetId="6" r:id="R06f00dbbd12249c0"/>
    <sheet name="03_窓種" sheetId="7" r:id="R776f59abcfe743df"/>
    <sheet name="03A_枠仕様" sheetId="8" r:id="Rdfd34bfa6f7d46d7"/>
    <sheet name="03B_窓種枠設定" sheetId="9" r:id="R4778e140562144e4"/>
    <sheet name="04_窓種固有仕様" sheetId="10" r:id="Rd72aedaef4634c85"/>
    <sheet name="05_サイズルール" sheetId="11" r:id="R52aa4c2f31d0400c"/>
    <sheet name="05A_サイズ区間" sheetId="12" r:id="R22a4c8f21a4a4d72"/>
    <sheet name="05B_境界ルール" sheetId="13" r:id="R0175e008a1ec4771"/>
    <sheet name="06_色" sheetId="14" r:id="Rd310e4169bbc4ade"/>
    <sheet name="06A_色適用条件" sheetId="15" r:id="Rf4ba1fdf166048fb"/>
    <sheet name="07_網戸" sheetId="16" r:id="R9f890b0e7fb44c30"/>
    <sheet name="07A_網戸適用条件" sheetId="17" r:id="Reac65b208cd0455f"/>
    <sheet name="08_ガラス" sheetId="18" r:id="R048bb73c0131431c"/>
    <sheet name="08A_ガラス適用条件" sheetId="19" r:id="R3e48865b6aeb4d5a"/>
    <sheet name="09_その他OP" sheetId="20" r:id="Rc865b8c65a3348a6"/>
    <sheet name="09A_OP依存関係" sheetId="21" r:id="R3aea0d17a14a429b"/>
    <sheet name="10_適用条件" sheetId="22" r:id="Rd8e7ae5687794235"/>
    <sheet name="10A_既設窓互換" sheetId="23" r:id="R7aea1165a81944b8"/>
    <sheet name="10B_現調項目" sheetId="24" r:id="R8d4579dd318d47a6"/>
    <sheet name="99_QA" sheetId="25" r:id="Rc82afc2005f34d2b"/>
    <sheet name="04A_開口構成" sheetId="26" r:id="R466e4a5c3781466d"/>
    <sheet name="11_見積入力テスト" sheetId="27" r:id="R8053414ab145457f"/>
    <sheet name="10C_化粧カバー見付" sheetId="28" r:id="R2486f5c36d844345"/>
    <sheet name="14_UI選択契約" sheetId="29"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ns0:Relationships xmlns:ns0="http://schemas.openxmlformats.org/package/2006/relationships"><ns0:Relationship Type="http://schemas.openxmlformats.org/officeDocument/2006/relationships/styles" Target="/xl/styles.xml" Id="R0352ee9166ca47cb" /><ns0:Relationship Type="http://schemas.openxmlformats.org/officeDocument/2006/relationships/theme" Target="/xl/theme/theme1.xml" Id="R42f4bad50a964551" /><ns0:Relationship Type="http://schemas.microsoft.com/office/2022/11/relationships/FeaturePropertyBag" Target="/xl/featurePropertyBag/featurePropertyBag.xml" Id="R8231378ddaef4ed1" /><ns0:Relationship Type="http://schemas.openxmlformats.org/officeDocument/2006/relationships/sharedStrings" Target="/xl/sharedStrings.xml" Id="R987350b76f7c4c0a" /><ns0:Relationship Type="http://schemas.openxmlformats.org/officeDocument/2006/relationships/worksheet" Target="/xl/worksheets/sheet1.xml" Id="R56857d669630409a" /><ns0:Relationship Type="http://schemas.openxmlformats.org/officeDocument/2006/relationships/worksheet" Target="/xl/worksheets/sheet2.xml" Id="R027c787beb294f5d" /><ns0:Relationship Type="http://schemas.openxmlformats.org/officeDocument/2006/relationships/worksheet" Target="/xl/worksheets/sheet3.xml" Id="R36e7744c9df14a75" /><ns0:Relationship Type="http://schemas.openxmlformats.org/officeDocument/2006/relationships/worksheet" Target="/xl/worksheets/sheet4.xml" Id="R188f2361751f4e3d" /><ns0:Relationship Type="http://schemas.openxmlformats.org/officeDocument/2006/relationships/worksheet" Target="/xl/worksheets/sheet5.xml" Id="Rdb1b859c5b664f12" /><ns0:Relationship Type="http://schemas.openxmlformats.org/officeDocument/2006/relationships/worksheet" Target="/xl/worksheets/sheet6.xml" Id="R06f00dbbd12249c0" /><ns0:Relationship Type="http://schemas.openxmlformats.org/officeDocument/2006/relationships/worksheet" Target="/xl/worksheets/sheet7.xml" Id="R776f59abcfe743df" /><ns0:Relationship Type="http://schemas.openxmlformats.org/officeDocument/2006/relationships/worksheet" Target="/xl/worksheets/sheet8.xml" Id="Rdfd34bfa6f7d46d7" /><ns0:Relationship Type="http://schemas.openxmlformats.org/officeDocument/2006/relationships/worksheet" Target="/xl/worksheets/sheet9.xml" Id="R4778e140562144e4" /><ns0:Relationship Type="http://schemas.openxmlformats.org/officeDocument/2006/relationships/worksheet" Target="/xl/worksheets/sheet10.xml" Id="Rd72aedaef4634c85" /><ns0:Relationship Type="http://schemas.openxmlformats.org/officeDocument/2006/relationships/worksheet" Target="/xl/worksheets/sheet11.xml" Id="R52aa4c2f31d0400c" /><ns0:Relationship Type="http://schemas.openxmlformats.org/officeDocument/2006/relationships/worksheet" Target="/xl/worksheets/sheet12.xml" Id="R22a4c8f21a4a4d72" /><ns0:Relationship Type="http://schemas.openxmlformats.org/officeDocument/2006/relationships/worksheet" Target="/xl/worksheets/sheet13.xml" Id="R0175e008a1ec4771" /><ns0:Relationship Type="http://schemas.openxmlformats.org/officeDocument/2006/relationships/worksheet" Target="/xl/worksheets/sheet14.xml" Id="Rd310e4169bbc4ade" /><ns0:Relationship Type="http://schemas.openxmlformats.org/officeDocument/2006/relationships/worksheet" Target="/xl/worksheets/sheet15.xml" Id="Rf4ba1fdf166048fb" /><ns0:Relationship Type="http://schemas.openxmlformats.org/officeDocument/2006/relationships/worksheet" Target="/xl/worksheets/sheet16.xml" Id="R9f890b0e7fb44c30" /><ns0:Relationship Type="http://schemas.openxmlformats.org/officeDocument/2006/relationships/worksheet" Target="/xl/worksheets/sheet17.xml" Id="Reac65b208cd0455f" /><ns0:Relationship Type="http://schemas.openxmlformats.org/officeDocument/2006/relationships/worksheet" Target="/xl/worksheets/sheet18.xml" Id="R048bb73c0131431c" /><ns0:Relationship Type="http://schemas.openxmlformats.org/officeDocument/2006/relationships/worksheet" Target="/xl/worksheets/sheet19.xml" Id="R3e48865b6aeb4d5a" /><ns0:Relationship Type="http://schemas.openxmlformats.org/officeDocument/2006/relationships/worksheet" Target="/xl/worksheets/sheet20.xml" Id="Rc865b8c65a3348a6" /><ns0:Relationship Type="http://schemas.openxmlformats.org/officeDocument/2006/relationships/worksheet" Target="/xl/worksheets/sheet21.xml" Id="R3aea0d17a14a429b" /><ns0:Relationship Type="http://schemas.openxmlformats.org/officeDocument/2006/relationships/worksheet" Target="/xl/worksheets/sheet22.xml" Id="Rd8e7ae5687794235" /><ns0:Relationship Type="http://schemas.openxmlformats.org/officeDocument/2006/relationships/worksheet" Target="/xl/worksheets/sheet23.xml" Id="R7aea1165a81944b8" /><ns0:Relationship Type="http://schemas.openxmlformats.org/officeDocument/2006/relationships/worksheet" Target="/xl/worksheets/sheet24.xml" Id="R8d4579dd318d47a6" /><ns0:Relationship Type="http://schemas.openxmlformats.org/officeDocument/2006/relationships/worksheet" Target="/xl/worksheets/sheet25.xml" Id="Rc82afc2005f34d2b" /><ns0:Relationship Type="http://schemas.openxmlformats.org/officeDocument/2006/relationships/worksheet" Target="/xl/worksheets/sheet26.xml" Id="R466e4a5c3781466d" /><ns0:Relationship Type="http://schemas.openxmlformats.org/officeDocument/2006/relationships/worksheet" Target="/xl/worksheets/sheet27.xml" Id="R8053414ab145457f" /><ns0:Relationship Type="http://schemas.openxmlformats.org/officeDocument/2006/relationships/worksheet" Target="/xl/worksheets/sheet28.xml" Id="R2486f5c36d844345" /><ns0:Relationship Id="rIdReplusUiV9" Type="http://schemas.openxmlformats.org/officeDocument/2006/relationships/worksheet" Target="worksheets/replus-ui-v9.xml" /></ns0: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35">
        <v>リプラス住宅用・共通UI選択契約</v>
      </c>
      <c r="B1" s="36"/>
      <c r="C1" s="36"/>
      <c r="D1" s="36"/>
      <c r="E1" s="37"/>
      <c r="F1"/>
    </row>
    <row r="2">
      <c r="A2" t="str" s="32">
        <v>分類</v>
      </c>
      <c r="B2" t="str" s="33">
        <v>対象</v>
      </c>
      <c r="C2" t="str" s="33">
        <v>依存元</v>
      </c>
      <c r="D2" t="str" s="33">
        <v>処理</v>
      </c>
      <c r="E2" t="str" s="34">
        <v>根拠区分</v>
      </c>
      <c r="F2" t="str">
        <v>revision</v>
      </c>
    </row>
    <row r="3">
      <c r="A3" t="str" s="35">
        <v>色連動</v>
      </c>
      <c r="B3" t="str" s="36">
        <v>sash_interior_color</v>
      </c>
      <c r="C3" t="str" s="36">
        <v>color_mode,sash_exterior_color</v>
      </c>
      <c r="D3" t="str" s="36">
        <v>{"targetField": "sash_interior_color", "applicability": {"color_mode": "SAME"}, "parents": ["color_mode", "sash_exterior_color"], "cases": [{"when": {"sash_exterior_color": "T"}, "value": "M"}, {"when": {"sash_exterior_color": "G"}, "value": "G"}, {"when": {"sash_exterior_color": "K"}, "value": "K"}, {"when": {"sash_exterior_color": "D"}, "value": "D"}, {"when": {"sash_exterior_color": "W"}, "value": "W"}], "resolvedMessage": "外観色に連動しています。", "pendingMessage": "本体外観色を選択してください。", "unavailableMessage": "本体内観色の対応を確認してください。"}</v>
      </c>
      <c r="E3" t="str" s="37">
        <v>USER_APPLICATION_POLICY</v>
      </c>
      <c r="F3" t="str">
        <v>REPLUS_GLOBAL_FLOW_V9_20261014</v>
      </c>
    </row>
    <row r="4">
      <c r="A4" t="str" s="35">
        <v>色連動</v>
      </c>
      <c r="B4" t="str" s="36">
        <v>exterior_cover_color</v>
      </c>
      <c r="C4" t="str" s="36">
        <v>sash_exterior_color</v>
      </c>
      <c r="D4" t="str" s="36">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4" t="str" s="37">
        <v>USER_APPLICATION_POLICY</v>
      </c>
      <c r="F4" t="str">
        <v>REPLUS_GLOBAL_FLOW_V9_20261014</v>
      </c>
    </row>
    <row r="5">
      <c r="A5" t="str" s="35">
        <v>色連動</v>
      </c>
      <c r="B5" t="str" s="36">
        <v>interior_cover_color</v>
      </c>
      <c r="C5" t="str" s="36">
        <v>sash_interior_color</v>
      </c>
      <c r="D5" t="str" s="36">
        <v>{"targetField": "interior_cover_color", "parents": ["sash_interior_color"], "cases": [{"when": {"sash_interior_color": "M"}, "value": "M"}, {"when": {"sash_interior_color": "G"}, "value": "G"}, {"when": {"sash_interior_color": "K"}, "value": "K"}, {"when": {"sash_interior_color": "D"}, "value": "D"}, {"when": {"sash_interior_color": "W"}, "value": "W"},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5" t="str" s="37">
        <v>USER_APPLICATION_POLICY</v>
      </c>
      <c r="F5" t="str">
        <v>REPLUS_GLOBAL_FLOW_V9_20261014</v>
      </c>
    </row>
    <row r="6">
      <c r="A6" t="str" s="35">
        <v>フロー</v>
      </c>
      <c r="B6" t="str" s="36">
        <v>window_type</v>
      </c>
      <c r="C6" t="str" s="36"/>
      <c r="D6" t="str" s="36">
        <v>{"label": "窓種", "group": "opening", "internal": false}</v>
      </c>
      <c r="E6" t="str" s="37">
        <v>UI_PRESENTATION</v>
      </c>
      <c r="F6" t="str">
        <v>REPLUS_GLOBAL_FLOW_V9_20261014</v>
      </c>
    </row>
    <row r="7">
      <c r="A7" t="str" s="35">
        <v>フロー</v>
      </c>
      <c r="B7" t="str" s="36">
        <v>frame_type</v>
      </c>
      <c r="C7" t="str" s="36">
        <v>window_type</v>
      </c>
      <c r="D7" t="str" s="36">
        <v>{"label": "枠仕様", "group": "opening", "internal": false}</v>
      </c>
      <c r="E7" t="str" s="37">
        <v>UI_PRESENTATION</v>
      </c>
      <c r="F7" t="str">
        <v>REPLUS_GLOBAL_FLOW_V9_20261014</v>
      </c>
    </row>
    <row r="8">
      <c r="A8" t="str" s="35">
        <v>フロー</v>
      </c>
      <c r="B8" t="str" s="36">
        <v>spec_panel_configuration</v>
      </c>
      <c r="C8" t="str" s="36">
        <v>window_type</v>
      </c>
      <c r="D8" t="str" s="36">
        <v>{"label": "建数", "group": "opening", "internal": false}</v>
      </c>
      <c r="E8" t="str" s="37">
        <v>UI_PRESENTATION</v>
      </c>
      <c r="F8" t="str">
        <v>REPLUS_GLOBAL_FLOW_V9_20261014</v>
      </c>
    </row>
    <row r="9">
      <c r="A9" t="str" s="35">
        <v>フロー</v>
      </c>
      <c r="B9" t="str" s="36">
        <v>spec_height_category</v>
      </c>
      <c r="C9" t="str" s="36">
        <v>window_type,custom_width,custom_height</v>
      </c>
      <c r="D9" t="str" s="36">
        <v>{"label": "マド／テラス", "group": "opening", "internal": true}</v>
      </c>
      <c r="E9" t="str" s="37">
        <v>UI_PRESENTATION</v>
      </c>
      <c r="F9" t="str">
        <v>REPLUS_GLOBAL_FLOW_V9_20261014</v>
      </c>
    </row>
    <row r="10">
      <c r="A10" t="str" s="35">
        <v>フロー</v>
      </c>
      <c r="B10" t="str" s="36">
        <v>spec_sash_configuration</v>
      </c>
      <c r="C10" t="str" s="36">
        <v>spec_height_category,spec_panel_configuration,window_type</v>
      </c>
      <c r="D10" t="str" s="36">
        <v>{"label": "障子仕様", "group": "opening", "internal": false}</v>
      </c>
      <c r="E10" t="str" s="37">
        <v>UI_PRESENTATION</v>
      </c>
      <c r="F10" t="str">
        <v>REPLUS_GLOBAL_FLOW_V9_20261014</v>
      </c>
    </row>
    <row r="11">
      <c r="A11" t="str" s="35">
        <v>フロー</v>
      </c>
      <c r="B11" t="str" s="36">
        <v>spec_opening_form</v>
      </c>
      <c r="C11" t="str" s="36">
        <v>window_type</v>
      </c>
      <c r="D11" t="str" s="36">
        <v>{"label": "開口形式", "group": "opening", "internal": false}</v>
      </c>
      <c r="E11" t="str" s="37">
        <v>UI_PRESENTATION</v>
      </c>
      <c r="F11" t="str">
        <v>REPLUS_GLOBAL_FLOW_V9_20261014</v>
      </c>
    </row>
    <row r="12">
      <c r="A12" t="str" s="35">
        <v>フロー</v>
      </c>
      <c r="B12" t="str" s="36">
        <v>screen</v>
      </c>
      <c r="C12" t="str" s="36">
        <v>spec_height_category,window_type</v>
      </c>
      <c r="D12" t="str" s="36">
        <v>{"label": "網戸", "group": "screen", "internal": false}</v>
      </c>
      <c r="E12" t="str" s="37">
        <v>UI_PRESENTATION</v>
      </c>
      <c r="F12" t="str">
        <v>REPLUS_GLOBAL_FLOW_V9_20261014</v>
      </c>
    </row>
    <row r="13">
      <c r="A13" t="str" s="35">
        <v>フロー</v>
      </c>
      <c r="B13" t="str" s="36">
        <v>size_mode</v>
      </c>
      <c r="C13" t="str" s="36"/>
      <c r="D13" t="str" s="36">
        <v>{"label": "寸法の指定方法", "group": "size", "internal": false}</v>
      </c>
      <c r="E13" t="str" s="37">
        <v>UI_PRESENTATION</v>
      </c>
      <c r="F13" t="str">
        <v>REPLUS_GLOBAL_FLOW_V9_20261014</v>
      </c>
    </row>
    <row r="14">
      <c r="A14" t="str" s="35">
        <v>フロー</v>
      </c>
      <c r="B14" t="str" s="36">
        <v>custom_width</v>
      </c>
      <c r="C14" t="str" s="36">
        <v>size_mode</v>
      </c>
      <c r="D14" t="str" s="36">
        <v>{"label": "製品仕上がり幅 W（mm）", "group": "size", "internal": false}</v>
      </c>
      <c r="E14" t="str" s="37">
        <v>UI_PRESENTATION</v>
      </c>
      <c r="F14" t="str">
        <v>REPLUS_GLOBAL_FLOW_V9_20261014</v>
      </c>
    </row>
    <row r="15">
      <c r="A15" t="str" s="35">
        <v>フロー</v>
      </c>
      <c r="B15" t="str" s="36">
        <v>custom_height</v>
      </c>
      <c r="C15" t="str" s="36">
        <v>size_mode</v>
      </c>
      <c r="D15" t="str" s="36">
        <v>{"label": "製品仕上がり高さ H（mm）", "group": "size", "internal": false}</v>
      </c>
      <c r="E15" t="str" s="37">
        <v>UI_PRESENTATION</v>
      </c>
      <c r="F15" t="str">
        <v>REPLUS_GLOBAL_FLOW_V9_20261014</v>
      </c>
    </row>
    <row r="16">
      <c r="A16" t="str" s="35">
        <v>フロー</v>
      </c>
      <c r="B16" t="str" s="36">
        <v>sash_exterior_color</v>
      </c>
      <c r="C16" t="str" s="36"/>
      <c r="D16" t="str" s="36">
        <v>{"label": "本体外観色", "group": "finish", "internal": false}</v>
      </c>
      <c r="E16" t="str" s="37">
        <v>UI_PRESENTATION</v>
      </c>
      <c r="F16" t="str">
        <v>REPLUS_GLOBAL_FLOW_V9_20261014</v>
      </c>
    </row>
    <row r="17">
      <c r="A17" t="str" s="35">
        <v>フロー</v>
      </c>
      <c r="B17" t="str" s="36">
        <v>sash_interior_color</v>
      </c>
      <c r="C17" t="str" s="36">
        <v>color_mode,sash_exterior_color</v>
      </c>
      <c r="D17" t="str" s="36">
        <v>{"label": "本体内観色", "group": "finish", "internal": false}</v>
      </c>
      <c r="E17" t="str" s="37">
        <v>UI_PRESENTATION</v>
      </c>
      <c r="F17" t="str">
        <v>REPLUS_GLOBAL_FLOW_V9_20261014</v>
      </c>
    </row>
    <row r="18">
      <c r="A18" t="str" s="35">
        <v>フロー</v>
      </c>
      <c r="B18" t="str" s="36">
        <v>exterior_cover_color</v>
      </c>
      <c r="C18" t="str" s="36">
        <v>sash_exterior_color</v>
      </c>
      <c r="D18" t="str" s="36">
        <v>{"label": "化粧カバー色（外観色に連動）", "group": "exterior_finish", "internal": false}</v>
      </c>
      <c r="E18" t="str" s="37">
        <v>UI_PRESENTATION</v>
      </c>
      <c r="F18" t="str">
        <v>REPLUS_GLOBAL_FLOW_V9_20261014</v>
      </c>
    </row>
    <row r="19">
      <c r="A19" t="str" s="35">
        <v>フロー</v>
      </c>
      <c r="B19" t="str" s="36">
        <v>interior_cover_color</v>
      </c>
      <c r="C19" t="str" s="36">
        <v>sash_interior_color</v>
      </c>
      <c r="D19" t="str" s="36">
        <v>{"label": "室内カバー色（内観色に連動）", "group": "interior_finish", "internal": false}</v>
      </c>
      <c r="E19" t="str" s="37">
        <v>UI_PRESENTATION</v>
      </c>
      <c r="F19" t="str">
        <v>REPLUS_GLOBAL_FLOW_V9_20261014</v>
      </c>
    </row>
    <row r="20">
      <c r="A20" t="str" s="35">
        <v>フロー</v>
      </c>
      <c r="B20" t="str" s="36">
        <v>wooden_casing_color</v>
      </c>
      <c r="C20" t="str" s="36">
        <v>options</v>
      </c>
      <c r="D20" t="str" s="36">
        <v>{"label": "木製ケーシング色", "group": "part_detail", "internal": false}</v>
      </c>
      <c r="E20" t="str" s="37">
        <v>UI_PRESENTATION</v>
      </c>
      <c r="F20" t="str">
        <v>REPLUS_GLOBAL_FLOW_V9_20261014</v>
      </c>
    </row>
    <row r="21">
      <c r="A21" t="str" s="35">
        <v>フロー</v>
      </c>
      <c r="B21" t="str" s="36">
        <v>options</v>
      </c>
      <c r="C21" t="str" s="36">
        <v>window_type</v>
      </c>
      <c r="D21" t="str" s="36">
        <v>{"label": "追加部材・オプション", "group": "options", "internal": false}</v>
      </c>
      <c r="E21" t="str" s="37">
        <v>UI_PRESENTATION</v>
      </c>
      <c r="F21" t="str">
        <v>REPLUS_GLOBAL_FLOW_V9_20261014</v>
      </c>
    </row>
    <row r="22">
      <c r="A22" t="str" s="35">
        <v>フロー</v>
      </c>
      <c r="B22" t="str" s="36">
        <v>usage_humidity</v>
      </c>
      <c r="C22" t="str" s="36"/>
      <c r="D22" t="str" s="36">
        <v>{"label": "使用環境", "group": "context", "internal": false}</v>
      </c>
      <c r="E22" t="str" s="37">
        <v>UI_PRESENTATION</v>
      </c>
      <c r="F22" t="str">
        <v>REPLUS_GLOBAL_FLOW_V9_20261014</v>
      </c>
    </row>
    <row r="23">
      <c r="A23" t="str" s="35">
        <v>フロー</v>
      </c>
      <c r="B23" t="str" s="36">
        <v>building_structure</v>
      </c>
      <c r="C23" t="str" s="36"/>
      <c r="D23" t="str" s="36">
        <v>{"label": "建物構造", "group": "context", "internal": false}</v>
      </c>
      <c r="E23" t="str" s="37">
        <v>UI_PRESENTATION</v>
      </c>
      <c r="F23" t="str">
        <v>REPLUS_GLOBAL_FLOW_V9_20261014</v>
      </c>
    </row>
    <row r="24">
      <c r="A24" t="str" s="35">
        <v>フロー</v>
      </c>
      <c r="B24" t="str" s="36">
        <v>installation_room</v>
      </c>
      <c r="C24" t="str" s="36"/>
      <c r="D24" t="str" s="36">
        <v>{"label": "設置場所", "group": "context", "internal": false}</v>
      </c>
      <c r="E24" t="str" s="37">
        <v>UI_PRESENTATION</v>
      </c>
      <c r="F24" t="str">
        <v>REPLUS_GLOBAL_FLOW_V9_20261014</v>
      </c>
    </row>
    <row r="25">
      <c r="A25" t="str" s="35">
        <v>フロー</v>
      </c>
      <c r="B25" t="str" s="36">
        <v>work_space</v>
      </c>
      <c r="C25" t="str" s="36"/>
      <c r="D25" t="str" s="36">
        <v>{"label": "新設枠の振出し条件", "group": "context", "internal": false}</v>
      </c>
      <c r="E25" t="str" s="37">
        <v>UI_PRESENTATION</v>
      </c>
      <c r="F25" t="str">
        <v>REPLUS_GLOBAL_FLOW_V9_20261014</v>
      </c>
    </row>
    <row r="26">
      <c r="A26" t="str" s="35">
        <v>フロー</v>
      </c>
      <c r="B26" t="str" s="36">
        <v>glass_category</v>
      </c>
      <c r="C26" t="str" s="36">
        <v>window_type,frame_type</v>
      </c>
      <c r="D26" t="str" s="36">
        <v>{"label": "ガラス種類", "group": "glazing", "internal": false}</v>
      </c>
      <c r="E26" t="str" s="37">
        <v>UI_PRESENTATION</v>
      </c>
      <c r="F26" t="str">
        <v>REPLUS_GLOBAL_FLOW_V9_20261014</v>
      </c>
    </row>
    <row r="27">
      <c r="A27" t="str" s="35">
        <v>フロー</v>
      </c>
      <c r="B27" t="str" s="36">
        <v>glass</v>
      </c>
      <c r="C27" t="str" s="36">
        <v>glass_category,window_type,frame_type</v>
      </c>
      <c r="D27" t="str" s="36">
        <v>{"label": "ガラス詳細・Low-E仕様", "group": "glazing", "internal": false}</v>
      </c>
      <c r="E27" t="str" s="37">
        <v>UI_PRESENTATION</v>
      </c>
      <c r="F27" t="str">
        <v>REPLUS_GLOBAL_FLOW_V9_20261014</v>
      </c>
    </row>
    <row r="28">
      <c r="A28" t="str" s="35">
        <v>フロー</v>
      </c>
      <c r="B28" t="str" s="36">
        <v>glass_gas</v>
      </c>
      <c r="C28" t="str" s="36">
        <v>frame_type,glass_category</v>
      </c>
      <c r="D28" t="str" s="36">
        <v>{"label": "中空層", "group": "glazing", "internal": false}</v>
      </c>
      <c r="E28" t="str" s="37">
        <v>UI_PRESENTATION</v>
      </c>
      <c r="F28" t="str">
        <v>REPLUS_GLOBAL_FLOW_V9_20261014</v>
      </c>
    </row>
    <row r="29">
      <c r="A29" t="str" s="35">
        <v>フロー</v>
      </c>
      <c r="B29" t="str" s="36">
        <v>glass_spacer</v>
      </c>
      <c r="C29" t="str" s="36">
        <v>frame_type,glass_category,glass_gas</v>
      </c>
      <c r="D29" t="str" s="36">
        <v>{"label": "スペーサー", "group": "glazing", "internal": false}</v>
      </c>
      <c r="E29" t="str" s="37">
        <v>UI_PRESENTATION</v>
      </c>
      <c r="F29" t="str">
        <v>REPLUS_GLOBAL_FLOW_V9_20261014</v>
      </c>
    </row>
    <row r="30">
      <c r="A30" t="str" s="35">
        <v>フロー</v>
      </c>
      <c r="B30" t="str" s="36">
        <v>glass_function</v>
      </c>
      <c r="C30" t="str" s="36">
        <v>glass_category,glass,window_type</v>
      </c>
      <c r="D30" t="str" s="36">
        <v>{"label": "ガラス追加機能", "group": "glazing", "internal": false}</v>
      </c>
      <c r="E30" t="str" s="37">
        <v>UI_PRESENTATION</v>
      </c>
      <c r="F30" t="str">
        <v>REPLUS_GLOBAL_FLOW_V9_20261014</v>
      </c>
    </row>
    <row r="31">
      <c r="A31" t="str" s="35">
        <v>フロー</v>
      </c>
      <c r="B31" t="str" s="36">
        <v>glass_appearance</v>
      </c>
      <c r="C31" t="str" s="36">
        <v>glass,glass_function</v>
      </c>
      <c r="D31" t="str" s="36">
        <v>{"label": "ガラス仕上げ・目隠し", "group": "glazing", "internal": false}</v>
      </c>
      <c r="E31" t="str" s="37">
        <v>UI_PRESENTATION</v>
      </c>
      <c r="F31" t="str">
        <v>REPLUS_GLOBAL_FLOW_V9_20261014</v>
      </c>
    </row>
    <row r="32">
      <c r="A32" t="str" s="35">
        <v>フロー</v>
      </c>
      <c r="B32" t="str" s="36">
        <v>color_mode</v>
      </c>
      <c r="C32" t="str" s="36"/>
      <c r="D32" t="str" s="36">
        <v>{"label": "本体の色設定", "group": "finish", "internal": false}</v>
      </c>
      <c r="E32" t="str" s="37">
        <v>UI_PRESENTATION</v>
      </c>
      <c r="F32" t="str">
        <v>REPLUS_GLOBAL_FLOW_V9_20261014</v>
      </c>
    </row>
    <row r="33">
      <c r="A33" t="str" s="35">
        <v>フロー</v>
      </c>
      <c r="B33" t="str" s="36">
        <v>interior_cover_type</v>
      </c>
      <c r="C33" t="str" s="36"/>
      <c r="D33" t="str" s="36">
        <v>{"label": "室内側の仕上げ仕様", "group": "interior_finish", "internal": false}</v>
      </c>
      <c r="E33" t="str" s="37">
        <v>UI_PRESENTATION</v>
      </c>
      <c r="F33" t="str">
        <v>REPLUS_GLOBAL_FLOW_V9_20261014</v>
      </c>
    </row>
    <row r="34">
      <c r="A34" t="str" s="35">
        <v>フロー</v>
      </c>
      <c r="B34" t="str" s="36">
        <v>exterior_cover_type</v>
      </c>
      <c r="C34" t="str" s="36">
        <v>frame_type,survey_cover_top,survey_cover_bottom,survey_cover_side</v>
      </c>
      <c r="D34" t="str" s="36">
        <v>{"label": "化粧カバーの大きさ・組合せ", "group": "exterior_finish", "internal": false}</v>
      </c>
      <c r="E34" t="str" s="37">
        <v>UI_PRESENTATION</v>
      </c>
      <c r="F34" t="str">
        <v>REPLUS_GLOBAL_FLOW_V9_20261014</v>
      </c>
    </row>
    <row r="35">
      <c r="A35" t="str" s="35">
        <v>フロー</v>
      </c>
      <c r="B35" t="str" s="36">
        <v>survey_cover_top</v>
      </c>
      <c r="C35" t="str" s="36"/>
      <c r="D35" t="str" s="36">
        <v>{"label": "既設上枠の見付（mm）", "group": "survey", "internal": false}</v>
      </c>
      <c r="E35" t="str" s="37">
        <v>UI_PRESENTATION</v>
      </c>
      <c r="F35" t="str">
        <v>REPLUS_GLOBAL_FLOW_V9_20261014</v>
      </c>
    </row>
    <row r="36">
      <c r="A36" t="str" s="35">
        <v>フロー</v>
      </c>
      <c r="B36" t="str" s="36">
        <v>survey_cover_bottom</v>
      </c>
      <c r="C36" t="str" s="36"/>
      <c r="D36" t="str" s="36">
        <v>{"label": "既設下枠の見付（mm）", "group": "survey", "internal": false}</v>
      </c>
      <c r="E36" t="str" s="37">
        <v>UI_PRESENTATION</v>
      </c>
      <c r="F36" t="str">
        <v>REPLUS_GLOBAL_FLOW_V9_20261014</v>
      </c>
    </row>
    <row r="37">
      <c r="A37" t="str" s="35">
        <v>フロー</v>
      </c>
      <c r="B37" t="str" s="36">
        <v>survey_cover_side</v>
      </c>
      <c r="C37" t="str" s="36"/>
      <c r="D37" t="str" s="36">
        <v>{"label": "既設縦枠の見付（mm）", "group": "survey", "internal": false}</v>
      </c>
      <c r="E37" t="str" s="37">
        <v>UI_PRESENTATION</v>
      </c>
      <c r="F37" t="str">
        <v>REPLUS_GLOBAL_FLOW_V9_20261014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s="4" t="str">
        <v>90_Evidence｜根拠管理</v>
      </c>
      <c r="B1" s="4"/>
      <c r="C1" s="4"/>
      <c r="D1" s="4"/>
      <c r="E1" s="4"/>
      <c r="F1" s="4"/>
      <c r="G1" s="4"/>
      <c r="H1" s="4"/>
      <c r="I1" s="4"/>
    </row>
    <row r="2" ht="34" customHeight="1">
      <c r="A2" s="11" t="str">
        <v>確定情報は原則としてEvidence IDを持つ。URLは追跡可能なプレーンテキストで保持。</v>
      </c>
      <c r="B2" s="11"/>
      <c r="C2" s="11"/>
      <c r="D2" s="11"/>
      <c r="E2" s="11"/>
      <c r="F2" s="11"/>
      <c r="G2" s="11"/>
      <c r="H2" s="11"/>
      <c r="I2" s="11"/>
    </row>
    <row r="4" ht="30" customHeight="1">
      <c r="A4" s="32" t="str">
        <v>evidence_id</v>
      </c>
      <c r="B4" s="33" t="str">
        <v>情報源種別</v>
      </c>
      <c r="C4" s="33" t="str">
        <v>資料名</v>
      </c>
      <c r="D4" s="33" t="str">
        <v>発行年月</v>
      </c>
      <c r="E4" s="33" t="str">
        <v>ページ/箇所</v>
      </c>
      <c r="F4" s="33" t="str">
        <v>URL</v>
      </c>
      <c r="G4" s="33" t="str">
        <v>確認日</v>
      </c>
      <c r="H4" s="33" t="str">
        <v>確度</v>
      </c>
      <c r="I4" s="34" t="str">
        <v>根拠内容</v>
      </c>
    </row>
    <row r="5">
      <c r="A5" s="35" t="str">
        <v>EV-001</v>
      </c>
      <c r="B5" s="36" t="str">
        <v>共通仕様</v>
      </c>
      <c r="C5" s="36" t="str">
        <v>サッシ商品マスター共通仕様書_v0.1</v>
      </c>
      <c r="D5" s="36" t="str">
        <v>2026-08-30更新</v>
      </c>
      <c r="E5" s="36" t="str">
        <v>全体</v>
      </c>
      <c r="F5" s="36" t="str">
        <v>https://docs.google.com/document/d/1MfixkbV1cZ__DtBknEKsix_nnrXQqjc-LZtXUHwJv_A/edit</v>
      </c>
      <c r="G5" s="36" t="str">
        <v>2026-08-30</v>
      </c>
      <c r="H5" s="36" t="str">
        <v>HIGH</v>
      </c>
      <c r="I5" s="37" t="str">
        <v>共通階層・条件判定・Evidence・UI非表示ルール</v>
      </c>
    </row>
    <row r="6">
      <c r="A6" s="35" t="str">
        <v>EV-002</v>
      </c>
      <c r="B6" s="36" t="str">
        <v>業務用資料集</v>
      </c>
      <c r="C6" s="36" t="str">
        <v>リプラス・リプラスマンション用 取替窓 業務用資料集</v>
      </c>
      <c r="D6" s="36" t="str">
        <v>2026-04</v>
      </c>
      <c r="E6" s="36" t="str">
        <v>目次・居室仕様価格表/納まり</v>
      </c>
      <c r="F6" s="36" t="str">
        <v>https://drive.google.com/file/d/1D1HPMXhOMYd_Lu10XNzzJR2TH3aDHVUr/view</v>
      </c>
      <c r="G6" s="36" t="str">
        <v>2026-08-30</v>
      </c>
      <c r="H6" s="36" t="str">
        <v>HIGH</v>
      </c>
      <c r="I6" s="37" t="str">
        <v>現行業務用資料。居室仕様の窓種、標準枠/ブリッジ枠、価格表・納まり</v>
      </c>
    </row>
    <row r="7">
      <c r="A7" s="35" t="str">
        <v>EV-003</v>
      </c>
      <c r="B7" s="36" t="str">
        <v>商品カタログ</v>
      </c>
      <c r="C7" s="36" t="str">
        <v>LIXIL リプラス 商品カタログ SN1200</v>
      </c>
      <c r="D7" s="36" t="str">
        <v>2025-08</v>
      </c>
      <c r="E7" s="36" t="str">
        <v>p.28</v>
      </c>
      <c r="F7" s="36" t="str">
        <v>https://drive.google.com/file/d/1wH1nhmsftl6y8Mp7y6twtoXSi6rxqxzT/view</v>
      </c>
      <c r="G7" s="36" t="str">
        <v>2026-08-30</v>
      </c>
      <c r="H7" s="36" t="str">
        <v>HIGH</v>
      </c>
      <c r="I7" s="37" t="str">
        <v>居室仕様の8窓種、色体系、既設窓取替可否の基本説明</v>
      </c>
    </row>
    <row r="8">
      <c r="A8" s="35" t="str">
        <v>EV-004</v>
      </c>
      <c r="B8" s="36" t="str">
        <v>商品カタログ</v>
      </c>
      <c r="C8" s="36" t="str">
        <v>LIXIL リプラス 商品カタログ SN1200</v>
      </c>
      <c r="D8" s="36" t="str">
        <v>2025-08</v>
      </c>
      <c r="E8" s="36" t="str">
        <v>p.48～</v>
      </c>
      <c r="F8" s="36" t="str">
        <v>https://drive.google.com/file/d/1wH1nhmsftl6y8Mp7y6twtoXSi6rxqxzT/view</v>
      </c>
      <c r="G8" s="36" t="str">
        <v>2026-08-30</v>
      </c>
      <c r="H8" s="36" t="str">
        <v>HIGH</v>
      </c>
      <c r="I8" s="37" t="str">
        <v>ガラスバリエーション</v>
      </c>
    </row>
    <row r="9">
      <c r="A9" s="35" t="str">
        <v>EV-005</v>
      </c>
      <c r="B9" s="36" t="str">
        <v>商品カタログ</v>
      </c>
      <c r="C9" s="36" t="str">
        <v>LIXIL リプラス 商品カタログ SN1200</v>
      </c>
      <c r="D9" s="36" t="str">
        <v>2025-08</v>
      </c>
      <c r="E9" s="36" t="str">
        <v>p.64-65</v>
      </c>
      <c r="F9" s="36" t="str">
        <v>https://drive.google.com/file/d/1wH1nhmsftl6y8Mp7y6twtoXSi6rxqxzT/view</v>
      </c>
      <c r="G9" s="36" t="str">
        <v>2026-08-30</v>
      </c>
      <c r="H9" s="36" t="str">
        <v>HIGH</v>
      </c>
      <c r="I9" s="37" t="str">
        <v>網戸形式・機能性ネット・シリーズ設定表</v>
      </c>
    </row>
    <row r="10">
      <c r="A10" s="35" t="str">
        <v>EV-006</v>
      </c>
      <c r="B10" s="36" t="str">
        <v>商品カタログ</v>
      </c>
      <c r="C10" s="36" t="str">
        <v>LIXIL リプラス 商品カタログ SN1200</v>
      </c>
      <c r="D10" s="36" t="str">
        <v>2025-08</v>
      </c>
      <c r="E10" s="36" t="str">
        <v>p.97</v>
      </c>
      <c r="F10" s="36" t="str">
        <v>https://drive.google.com/file/d/1wH1nhmsftl6y8Mp7y6twtoXSi6rxqxzT/view</v>
      </c>
      <c r="G10" s="36" t="str">
        <v>2026-08-30</v>
      </c>
      <c r="H10" s="36" t="str">
        <v>HIGH</v>
      </c>
      <c r="I10" s="37" t="str">
        <v>居室仕様 引違い窓 標準枠 寸法特注範囲</v>
      </c>
    </row>
    <row r="11">
      <c r="A11" s="35" t="str">
        <v>EV-007</v>
      </c>
      <c r="B11" s="36" t="str">
        <v>商品カタログ</v>
      </c>
      <c r="C11" s="36" t="str">
        <v>LIXIL リプラス 商品カタログ SN1200</v>
      </c>
      <c r="D11" s="36" t="str">
        <v>2025-08</v>
      </c>
      <c r="E11" s="36" t="str">
        <v>p.98</v>
      </c>
      <c r="F11" s="36" t="str">
        <v>https://drive.google.com/file/d/1wH1nhmsftl6y8Mp7y6twtoXSi6rxqxzT/view</v>
      </c>
      <c r="G11" s="36" t="str">
        <v>2026-08-30</v>
      </c>
      <c r="H11" s="36" t="str">
        <v>HIGH</v>
      </c>
      <c r="I11" s="37" t="str">
        <v>居室仕様 引違い窓 ブリッジ枠 寸法特注範囲</v>
      </c>
    </row>
    <row r="12">
      <c r="A12" s="35" t="str">
        <v>EV-008</v>
      </c>
      <c r="B12" s="36" t="str">
        <v>商品カタログ</v>
      </c>
      <c r="C12" s="36" t="str">
        <v>LIXIL リプラス 商品カタログ SN1200</v>
      </c>
      <c r="D12" s="36" t="str">
        <v>2025-08</v>
      </c>
      <c r="E12" s="36" t="str">
        <v>p.110</v>
      </c>
      <c r="F12" s="36" t="str">
        <v>https://drive.google.com/file/d/1wH1nhmsftl6y8Mp7y6twtoXSi6rxqxzT/view</v>
      </c>
      <c r="G12" s="36" t="str">
        <v>2026-08-30</v>
      </c>
      <c r="H12" s="36" t="str">
        <v>HIGH</v>
      </c>
      <c r="I12" s="37" t="str">
        <v>居室仕様 装飾窓 寸法特注範囲</v>
      </c>
    </row>
    <row r="13">
      <c r="A13" s="35" t="str">
        <v>EV-009</v>
      </c>
      <c r="B13" s="36" t="str">
        <v>商品カタログ</v>
      </c>
      <c r="C13" s="36" t="str">
        <v>LIXIL リプラス 商品カタログ SN1200</v>
      </c>
      <c r="D13" s="36" t="str">
        <v>2025-08</v>
      </c>
      <c r="E13" s="36" t="str">
        <v>p.111</v>
      </c>
      <c r="F13" s="36" t="str">
        <v>https://drive.google.com/file/d/1wH1nhmsftl6y8Mp7y6twtoXSi6rxqxzT/view</v>
      </c>
      <c r="G13" s="36" t="str">
        <v>2026-08-30</v>
      </c>
      <c r="H13" s="36" t="str">
        <v>HIGH</v>
      </c>
      <c r="I13" s="37" t="str">
        <v>FIX窓、連窓方立、段窓無目 寸法特注範囲</v>
      </c>
    </row>
    <row r="14">
      <c r="A14" s="35" t="str">
        <v>EV-010</v>
      </c>
      <c r="B14" s="36" t="str">
        <v>商品カタログ</v>
      </c>
      <c r="C14" s="36" t="str">
        <v>LIXIL リプラス 商品カタログ SN1200</v>
      </c>
      <c r="D14" s="36" t="str">
        <v>2025-08</v>
      </c>
      <c r="E14" s="36" t="str">
        <v>p.194-200</v>
      </c>
      <c r="F14" s="36" t="str">
        <v>https://drive.google.com/file/d/1wH1nhmsftl6y8Mp7y6twtoXSi6rxqxzT/view</v>
      </c>
      <c r="G14" s="36" t="str">
        <v>2026-08-30</v>
      </c>
      <c r="H14" s="36" t="str">
        <v>HIGH</v>
      </c>
      <c r="I14" s="37" t="str">
        <v>現場調査フロー、構造/防火/既設サッシ条件</v>
      </c>
    </row>
    <row r="15">
      <c r="A15" s="35" t="str">
        <v>EV-011</v>
      </c>
      <c r="B15" s="36" t="str">
        <v>商品カタログ</v>
      </c>
      <c r="C15" s="36" t="str">
        <v>LIXIL リプラス 商品カタログ SN1200</v>
      </c>
      <c r="D15" s="36" t="str">
        <v>2025-08</v>
      </c>
      <c r="E15" s="36" t="str">
        <v>p.200</v>
      </c>
      <c r="F15" s="36" t="str">
        <v>https://drive.google.com/file/d/1wH1nhmsftl6y8Mp7y6twtoXSi6rxqxzT/view</v>
      </c>
      <c r="G15" s="36" t="str">
        <v>2026-08-30</v>
      </c>
      <c r="H15" s="36" t="str">
        <v>HIGH</v>
      </c>
      <c r="I15" s="37" t="str">
        <v>既設窓種対応可否表</v>
      </c>
    </row>
    <row r="16">
      <c r="A16" s="35" t="str">
        <v>EV-012</v>
      </c>
      <c r="B16" s="36" t="str">
        <v>商品カタログ</v>
      </c>
      <c r="C16" s="36" t="str">
        <v>LIXIL リプラス 商品カタログ SN1200</v>
      </c>
      <c r="D16" s="36" t="str">
        <v>2025-08</v>
      </c>
      <c r="E16" s="36" t="str">
        <v>p.204-209付近</v>
      </c>
      <c r="F16" s="36" t="str">
        <v>https://drive.google.com/file/d/1wH1nhmsftl6y8Mp7y6twtoXSi6rxqxzT/view</v>
      </c>
      <c r="G16" s="36" t="str">
        <v>2026-08-30</v>
      </c>
      <c r="H16" s="36" t="str">
        <v>HIGH</v>
      </c>
      <c r="I16" s="37" t="str">
        <v>採寸・下枠補強金具・枠見付確認</v>
      </c>
    </row>
    <row r="17">
      <c r="A17" s="35" t="str">
        <v>EV-013</v>
      </c>
      <c r="B17" s="36" t="str">
        <v>商品カタログ</v>
      </c>
      <c r="C17" s="36" t="str">
        <v>LIXIL リプラス 商品カタログ SN1200</v>
      </c>
      <c r="D17" s="36" t="str">
        <v>2025-08</v>
      </c>
      <c r="E17" s="36" t="str">
        <v>納まり参考図 p.152以降</v>
      </c>
      <c r="F17" s="36" t="str">
        <v>https://drive.google.com/file/d/1wH1nhmsftl6y8Mp7y6twtoXSi6rxqxzT/view</v>
      </c>
      <c r="G17" s="36" t="str">
        <v>2026-08-30</v>
      </c>
      <c r="H17" s="36" t="str">
        <v>HIGH</v>
      </c>
      <c r="I17" s="37" t="str">
        <v>出来寸W=WS-10、出来寸H=HS-10の寸法表記</v>
      </c>
    </row>
    <row r="18">
      <c r="A18" s="35" t="str">
        <v>EV-014</v>
      </c>
      <c r="B18" s="36" t="str">
        <v>公式Web</v>
      </c>
      <c r="C18" s="36" t="str">
        <v>LIXIL リプラス 居室仕様</v>
      </c>
      <c r="D18" s="36" t="str">
        <v>現行</v>
      </c>
      <c r="E18" s="36" t="str">
        <v>ブリッジ枠・色・ガラス・網戸</v>
      </c>
      <c r="F18" s="36" t="str">
        <v>https://www.lixil.co.jp/lineup/window/replus/variation/dedicated-frame/</v>
      </c>
      <c r="G18" s="36" t="str">
        <v>2026-08-30</v>
      </c>
      <c r="H18" s="36" t="str">
        <v>HIGH</v>
      </c>
      <c r="I18" s="37" t="str">
        <v>ブリッジ枠は引違い窓で選択可。色/ガラス/網戸の現行掲載</v>
      </c>
    </row>
    <row r="19">
      <c r="A19" s="35" t="str">
        <v>EV-015</v>
      </c>
      <c r="B19" s="36" t="str">
        <v>公式Webカタログ</v>
      </c>
      <c r="C19" s="36" t="str">
        <v>リプラス・リプラスマンション用 業務用資料集 IS8000</v>
      </c>
      <c r="D19" s="36" t="str">
        <v>2026-04</v>
      </c>
      <c r="E19" s="36" t="str">
        <v>244ページ</v>
      </c>
      <c r="F19" s="36" t="str">
        <v>https://webcatalog.lixil.co.jp/iportal/CatalogDetail.do?catalogID=18008840000&amp;categoryID=1680000&amp;designID=newinter&amp;method=initial_screen&amp;position=25&amp;type=mc&amp;volumeID=LXL13001</v>
      </c>
      <c r="G19" s="36" t="str">
        <v>2026-08-30</v>
      </c>
      <c r="H19" s="36" t="str">
        <v>HIGH</v>
      </c>
      <c r="I19" s="37" t="str">
        <v>現行業務用資料の発行年月確認</v>
      </c>
    </row>
    <row r="20">
      <c r="A20" s="38" t="str">
        <v>EV-016</v>
      </c>
      <c r="B20" s="39" t="str">
        <v>LIXIL KIN-KEN</v>
      </c>
      <c r="C20" s="39" t="str">
        <v>リプラス 商品資料一覧</v>
      </c>
      <c r="D20" s="39" t="str">
        <v>現行</v>
      </c>
      <c r="E20" s="39" t="str">
        <v>商品資料</v>
      </c>
      <c r="F20" s="39" t="str">
        <v>https://kinken.lixil.co.jp/e/products/csseresdet_2671800/documents/webcatalog</v>
      </c>
      <c r="G20" s="39" t="str">
        <v>2026-08-30</v>
      </c>
      <c r="H20" s="39" t="str">
        <v>HIGH</v>
      </c>
      <c r="I20" s="40" t="str">
        <v>現行資料コード/発行時期の確認</v>
      </c>
    </row>
    <row r="21">
      <c r="A21" s="28" t="str">
        <v>EV-017</v>
      </c>
      <c r="B21" s="28" t="str">
        <v>商品カタログ</v>
      </c>
      <c r="C21" s="28" t="str">
        <v>LIXIL リプラス 商品カタログ SN1200</v>
      </c>
      <c r="D21" s="28" t="str">
        <v>2025-08</v>
      </c>
      <c r="E21" s="28" t="str">
        <v>p.64-65 / p.69</v>
      </c>
      <c r="F21" s="28" t="str">
        <v>https://drive.google.com/file/d/1wH1nhmsftl6y8Mp7y6twtoXSi6rxqxzT/view</v>
      </c>
      <c r="G21" s="28" t="str">
        <v>2026-08-30</v>
      </c>
      <c r="H21" s="28" t="str">
        <v>HIGH</v>
      </c>
      <c r="I21" s="28" t="str">
        <v>居室仕様の網戸形式・機能性ネット・新設サッシ別代表網戸</v>
      </c>
    </row>
    <row r="22">
      <c r="A22" s="28" t="str">
        <v>EV-018</v>
      </c>
      <c r="B22" s="28" t="str">
        <v>商品カタログ</v>
      </c>
      <c r="C22" s="28" t="str">
        <v>LIXIL リプラス 商品カタログ SN1200</v>
      </c>
      <c r="D22" s="28" t="str">
        <v>2025-08</v>
      </c>
      <c r="E22" s="28" t="str">
        <v>p.124</v>
      </c>
      <c r="F22" s="28" t="str">
        <v>https://drive.google.com/file/d/1wH1nhmsftl6y8Mp7y6twtoXSi6rxqxzT/view</v>
      </c>
      <c r="G22" s="28" t="str">
        <v>2026-08-30</v>
      </c>
      <c r="H22" s="28" t="str">
        <v>HIGH</v>
      </c>
      <c r="I22" s="28" t="str">
        <v>有償品取付可否表・注記1～16</v>
      </c>
    </row>
    <row r="23">
      <c r="A23" s="28" t="str">
        <v>EV-019</v>
      </c>
      <c r="B23" s="28" t="str">
        <v>商品カタログ</v>
      </c>
      <c r="C23" s="28" t="str">
        <v>LIXIL リプラス 商品カタログ SN1200</v>
      </c>
      <c r="D23" s="28" t="str">
        <v>2025-08</v>
      </c>
      <c r="E23" s="28" t="str">
        <v>p.208-211</v>
      </c>
      <c r="F23" s="28" t="str">
        <v>https://drive.google.com/file/d/1wH1nhmsftl6y8Mp7y6twtoXSi6rxqxzT/view</v>
      </c>
      <c r="G23" s="28" t="str">
        <v>2026-08-30</v>
      </c>
      <c r="H23" s="28" t="str">
        <v>HIGH</v>
      </c>
      <c r="I23" s="28" t="str">
        <v>標準施工/内嵌め判定・下枠補強金具・3点採寸・化粧カバー見付範囲</v>
      </c>
    </row>
    <row r="24">
      <c r="A24" s="28" t="str">
        <v>EV-020</v>
      </c>
      <c r="B24" s="28" t="str">
        <v>商品カタログ</v>
      </c>
      <c r="C24" s="28" t="str">
        <v>LIXIL リプラス 商品カタログ SN1200</v>
      </c>
      <c r="D24" s="28" t="str">
        <v>2025-08</v>
      </c>
      <c r="E24" s="28" t="str">
        <v>p.48-49</v>
      </c>
      <c r="F24" s="28" t="str">
        <v>https://drive.google.com/file/d/1wH1nhmsftl6y8Mp7y6twtoXSi6rxqxzT/view</v>
      </c>
      <c r="G24" s="28" t="str">
        <v>2026-08-30</v>
      </c>
      <c r="H24" s="28" t="str">
        <v>HIGH</v>
      </c>
      <c r="I24" s="28" t="str">
        <v>居室仕様の複層ガラス体系・Low-E・中空層・追加機能</v>
      </c>
    </row>
    <row r="25">
      <c r="A25" s="28" t="str">
        <v>EV-021</v>
      </c>
      <c r="B25" s="28" t="str">
        <v>商品カタログ</v>
      </c>
      <c r="C25" s="28" t="str">
        <v>LIXIL リプラス 商品カタログ SN1200</v>
      </c>
      <c r="D25" s="28" t="str">
        <v>2025-08</v>
      </c>
      <c r="E25" s="28" t="str">
        <v>p.76</v>
      </c>
      <c r="F25" s="28" t="str">
        <v>https://drive.google.com/file/d/1wH1nhmsftl6y8Mp7y6twtoXSi6rxqxzT/view</v>
      </c>
      <c r="G25" s="28" t="str">
        <v>2026-08-30</v>
      </c>
      <c r="H25" s="28" t="str">
        <v>HIGH</v>
      </c>
      <c r="I25" s="28" t="str">
        <v>見込みふかし部材の適用条件</v>
      </c>
    </row>
    <row r="26">
      <c r="A26" s="28" t="str">
        <v>EV-022</v>
      </c>
      <c r="B26" s="28" t="str">
        <v>業務用資料集</v>
      </c>
      <c r="C26" s="28" t="str">
        <v>リプラス・リプラスマンション用 取替窓 業務用資料集</v>
      </c>
      <c r="D26" s="28" t="str">
        <v>2026-04</v>
      </c>
      <c r="E26" s="28" t="str">
        <v>居室仕様完成品価格表・有償品</v>
      </c>
      <c r="F26" s="28" t="str">
        <v>https://drive.google.com/file/d/1D1HPMXhOMYd_Lu10XNzzJR2TH3aDHVUr/view</v>
      </c>
      <c r="G26" s="28" t="str">
        <v>2026-08-30</v>
      </c>
      <c r="H26" s="28" t="str">
        <v>HIGH</v>
      </c>
      <c r="I26" s="28" t="str">
        <v>中桟有無・有償品・価格区分の現行確認</v>
      </c>
    </row>
    <row r="27">
      <c r="A27" s="28" t="inlineStr">
        <is>
          <t>DELTA-KEY-EV-V4</t>
        </is>
      </c>
      <c r="B27" s="28" t="inlineStr">
        <is>
          <t>公式業務用資料集</t>
        </is>
      </c>
      <c r="C27" s="28" t="inlineStr">
        <is>
          <t>IS9800</t>
        </is>
      </c>
      <c r="D27" s="28" t="inlineStr">
        <is>
          <t>2026-10</t>
        </is>
      </c>
      <c r="E27" s="28" t="inlineStr">
        <is>
          <t>PDF 3,44,49</t>
        </is>
      </c>
      <c r="F27" s="28" t="inlineStr">
        <is>
          <t>https://webcatalog.lixil.co.jp/cgi-bin/openCatalog.cgi?c=IS9800&amp;d=newinter</t>
        </is>
      </c>
      <c r="G27" s="28" t="inlineStr">
        <is>
          <t>2026-10-14</t>
        </is>
      </c>
      <c r="H27" s="28" t="inlineStr">
        <is>
          <t>HIGH</t>
        </is>
      </c>
      <c r="I27" s="28" t="inlineStr">
        <is>
          <t>ADD_OPTION_AND_DENY_COMBINATION / NEW_CANDIDATE、Current未採用</t>
        </is>
      </c>
    </row>
    <row r="28">
      <c r="A28" s="28" t="inlineStr">
        <is>
          <t>DELTA-SPACER-EV-V4</t>
        </is>
      </c>
      <c r="B28" s="28" t="inlineStr">
        <is>
          <t>公式業務用資料集</t>
        </is>
      </c>
      <c r="C28" s="28" t="inlineStr">
        <is>
          <t>IS9800</t>
        </is>
      </c>
      <c r="D28" s="28" t="inlineStr">
        <is>
          <t>2026-10</t>
        </is>
      </c>
      <c r="E28" s="28" t="inlineStr">
        <is>
          <t>PDF 52,104,116,120</t>
        </is>
      </c>
      <c r="F28" s="28" t="inlineStr">
        <is>
          <t>https://webcatalog.lixil.co.jp/cgi-bin/openCatalog.cgi?c=IS9800&amp;d=newinter</t>
        </is>
      </c>
      <c r="G28" s="28" t="inlineStr">
        <is>
          <t>2026-10-14</t>
        </is>
      </c>
      <c r="H28" s="28" t="inlineStr">
        <is>
          <t>HIGH</t>
        </is>
      </c>
      <c r="I28" s="28" t="inlineStr">
        <is>
          <t>ADD_15x20_SPACER / NEW_CANDIDATE、Current未採用</t>
        </is>
      </c>
    </row>
    <row r="29">
      <c r="A29" s="28" t="inlineStr">
        <is>
          <t>DELTA-CASING-EV-V4</t>
        </is>
      </c>
      <c r="B29" s="28" t="inlineStr">
        <is>
          <t>公式業務用資料集</t>
        </is>
      </c>
      <c r="C29" s="28" t="inlineStr">
        <is>
          <t>IS9800</t>
        </is>
      </c>
      <c r="D29" s="28" t="inlineStr">
        <is>
          <t>2026-10</t>
        </is>
      </c>
      <c r="E29" s="28" t="inlineStr">
        <is>
          <t>PDF 51,115,119</t>
        </is>
      </c>
      <c r="F29" s="28" t="inlineStr">
        <is>
          <t>https://webcatalog.lixil.co.jp/cgi-bin/openCatalog.cgi?c=IS9800&amp;d=newinter</t>
        </is>
      </c>
      <c r="G29" s="28" t="inlineStr">
        <is>
          <t>2026-10-14</t>
        </is>
      </c>
      <c r="H29" s="28" t="inlineStr">
        <is>
          <t>HIGH</t>
        </is>
      </c>
      <c r="I29" s="28" t="inlineStr">
        <is>
          <t>UPDATE_WOODEN_CASING_COLOR_SCOPE / NEW_CANDIDATE、Current未採用</t>
        </is>
      </c>
    </row>
    <row r="30">
      <c r="A30" s="28" t="inlineStr">
        <is>
          <t>DELTA-FILLER-EV-V4</t>
        </is>
      </c>
      <c r="B30" s="28" t="inlineStr">
        <is>
          <t>公式業務用資料集</t>
        </is>
      </c>
      <c r="C30" s="28" t="inlineStr">
        <is>
          <t>IS9800</t>
        </is>
      </c>
      <c r="D30" s="28" t="inlineStr">
        <is>
          <t>2026-10</t>
        </is>
      </c>
      <c r="E30" s="28" t="inlineStr">
        <is>
          <t>PDF 51,115,119</t>
        </is>
      </c>
      <c r="F30" s="28" t="inlineStr">
        <is>
          <t>https://webcatalog.lixil.co.jp/cgi-bin/openCatalog.cgi?c=IS9800&amp;d=newinter</t>
        </is>
      </c>
      <c r="G30" s="28" t="inlineStr">
        <is>
          <t>2026-10-14</t>
        </is>
      </c>
      <c r="H30" s="28" t="inlineStr">
        <is>
          <t>HIGH</t>
        </is>
      </c>
      <c r="I30" s="28" t="inlineStr">
        <is>
          <t>UPDATE_FILLER_NAME_AND_VARIANTS / NEW_CANDIDATE、Current未採用</t>
        </is>
      </c>
    </row>
    <row r="31">
      <c r="A31" s="28" t="inlineStr">
        <is>
          <t>DELTA-LEADTIME-EV-V4</t>
        </is>
      </c>
      <c r="B31" s="28" t="inlineStr">
        <is>
          <t>公式業務用資料集</t>
        </is>
      </c>
      <c r="C31" s="28" t="inlineStr">
        <is>
          <t>IS9800</t>
        </is>
      </c>
      <c r="D31" s="28" t="inlineStr">
        <is>
          <t>2026-10</t>
        </is>
      </c>
      <c r="E31" s="28" t="inlineStr">
        <is>
          <t>PDF 235</t>
        </is>
      </c>
      <c r="F31" s="28" t="inlineStr">
        <is>
          <t>https://webcatalog.lixil.co.jp/cgi-bin/openCatalog.cgi?c=IS9800&amp;d=newinter</t>
        </is>
      </c>
      <c r="G31" s="28" t="inlineStr">
        <is>
          <t>2026-10-14</t>
        </is>
      </c>
      <c r="H31" s="28" t="inlineStr">
        <is>
          <t>HIGH</t>
        </is>
      </c>
      <c r="I31" s="28" t="inlineStr">
        <is>
          <t>SOURCE_NOTE_ONLY / NEW_CANDIDATE、Current未採用</t>
        </is>
      </c>
    </row>
    <row r="32">
      <c r="A32" s="28" t="inlineStr">
        <is>
          <t>EV-V5-CASING</t>
        </is>
      </c>
      <c r="B32" s="28" t="inlineStr">
        <is>
          <t>業務用資料集</t>
        </is>
      </c>
      <c r="C32" s="28" t="inlineStr">
        <is>
          <t>IS8000</t>
        </is>
      </c>
      <c r="D32" s="28" t="inlineStr">
        <is>
          <t>2026-04</t>
        </is>
      </c>
      <c r="E32" s="28" t="inlineStr">
        <is>
          <t>PDF51 印刷49</t>
        </is>
      </c>
      <c r="F32" s="28" t="inlineStr">
        <is>
          <t>https://drive.google.com/file/d/1D1HPMXhOMYd_Lu10XNzzJR2TH3aDHVUr/view</t>
        </is>
      </c>
      <c r="G32" s="28" t="inlineStr">
        <is>
          <t>2026-10-14</t>
        </is>
      </c>
      <c r="H32" s="28" t="inlineStr">
        <is>
          <t>HIGH</t>
        </is>
      </c>
      <c r="I32" s="28" t="inlineStr">
        <is>
          <t>既存カバー用ケーシングの選択ID補完。価格/BOM/SetCode未確定</t>
        </is>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2" hidden="0" customWidth="1"/>
    <col min="3" max="3" width="26" hidden="0" customWidth="1"/>
    <col min="4" max="4" width="28" hidden="0" customWidth="1"/>
    <col min="5" max="5" width="60" hidden="0" customWidth="1"/>
  </cols>
  <sheetData>
    <row r="1" ht="28" customHeight="1">
      <c r="A1" t="str" s="4">
        <v>リプラス住宅用・グローバルセレクションフロー</v>
      </c>
      <c r="B1" s="4"/>
      <c r="C1" s="4"/>
      <c r="D1" s="4"/>
      <c r="E1" s="4"/>
      <c r="F1"/>
    </row>
    <row r="2">
      <c r="A2"/>
      <c r="B2"/>
      <c r="C2"/>
      <c r="D2"/>
      <c r="E2"/>
      <c r="F2"/>
    </row>
    <row r="3" ht="30" customHeight="1">
      <c r="A3" t="str" s="32">
        <v>順番</v>
      </c>
      <c r="B3" t="str" s="33">
        <v>表示項目</v>
      </c>
      <c r="C3" t="str" s="33">
        <v>データキー</v>
      </c>
      <c r="D3" t="str" s="33">
        <v>候補/入力</v>
      </c>
      <c r="E3" t="str" s="34">
        <v>制御方針</v>
      </c>
      <c r="F3"/>
    </row>
    <row r="4">
      <c r="A4" t="n" s="35">
        <v>1</v>
      </c>
      <c r="B4" t="str" s="36">
        <v>商品・リプラス仕様</v>
      </c>
      <c r="C4" t="str" s="36">
        <v>product / specification</v>
      </c>
      <c r="D4" t="str" s="36">
        <v>リプラス住宅用 → 仕様</v>
      </c>
      <c r="E4" t="str" s="37">
        <v>今回承認されたアプリ運用ルール</v>
      </c>
      <c r="F4"/>
    </row>
    <row r="5">
      <c r="A5" t="n" s="35">
        <v>2</v>
      </c>
      <c r="B5" t="str" s="36">
        <v>設置・施工条件</v>
      </c>
      <c r="C5" t="str" s="36">
        <v>context</v>
      </c>
      <c r="D5" t="str" s="36">
        <v>選択・確認</v>
      </c>
      <c r="E5" t="str" s="37">
        <v>対応する項目のみ表示</v>
      </c>
      <c r="F5"/>
    </row>
    <row r="6">
      <c r="A6" t="n" s="35">
        <v>3</v>
      </c>
      <c r="B6" t="str" s="36">
        <v>窓種・基本仕様</v>
      </c>
      <c r="C6" t="str" s="36">
        <v>opening</v>
      </c>
      <c r="D6" t="str" s="36">
        <v>選択・確認</v>
      </c>
      <c r="E6" t="str" s="37">
        <v>対応する項目のみ表示</v>
      </c>
      <c r="F6"/>
    </row>
    <row r="7">
      <c r="A7" t="n" s="35">
        <v>4</v>
      </c>
      <c r="B7" t="str" s="36">
        <v>本体色</v>
      </c>
      <c r="C7" t="str" s="36">
        <v>finish</v>
      </c>
      <c r="D7" t="str" s="36">
        <v>選択・確認</v>
      </c>
      <c r="E7" t="str" s="37">
        <v>対応する項目のみ表示</v>
      </c>
      <c r="F7"/>
    </row>
    <row r="8">
      <c r="A8" t="n" s="35">
        <v>5</v>
      </c>
      <c r="B8" t="str" s="36">
        <v>網戸</v>
      </c>
      <c r="C8" t="str" s="36">
        <v>screen</v>
      </c>
      <c r="D8" t="str" s="36">
        <v>選択・確認</v>
      </c>
      <c r="E8" t="str" s="37">
        <v>対応する項目のみ表示</v>
      </c>
      <c r="F8"/>
    </row>
    <row r="9">
      <c r="A9" t="n" s="35">
        <v>6</v>
      </c>
      <c r="B9" t="str" s="36">
        <v>ガラス</v>
      </c>
      <c r="C9" t="str" s="36">
        <v>glazing</v>
      </c>
      <c r="D9" t="str" s="36">
        <v>選択・確認</v>
      </c>
      <c r="E9" t="str" s="37">
        <v>対応する項目のみ表示</v>
      </c>
      <c r="F9"/>
    </row>
    <row r="10">
      <c r="A10" t="n" s="35">
        <v>7</v>
      </c>
      <c r="B10" t="str" s="36">
        <v>室内側の仕上げ・アングルカバー</v>
      </c>
      <c r="C10" t="str" s="36">
        <v>interior_finish</v>
      </c>
      <c r="D10" t="str" s="36">
        <v>選択・確認</v>
      </c>
      <c r="E10" t="str" s="37">
        <v>本体色に連動</v>
      </c>
      <c r="F10"/>
    </row>
    <row r="11">
      <c r="A11" t="n" s="35">
        <v>8</v>
      </c>
      <c r="B11" t="str" s="36">
        <v>室外側の仕上げ・化粧カバー</v>
      </c>
      <c r="C11" t="str" s="36">
        <v>exterior_finish</v>
      </c>
      <c r="D11" t="str" s="36">
        <v>選択・確認</v>
      </c>
      <c r="E11" t="str" s="37">
        <v>本体色に連動</v>
      </c>
      <c r="F11"/>
    </row>
    <row r="12">
      <c r="A12" t="n" s="35">
        <v>9</v>
      </c>
      <c r="B12" t="str" s="36">
        <v>新設サッシのオプション</v>
      </c>
      <c r="C12" t="str" s="36">
        <v>native_options</v>
      </c>
      <c r="D12" t="str" s="36">
        <v>選択・確認</v>
      </c>
      <c r="E12" t="str" s="37">
        <v>対応する項目のみ表示</v>
      </c>
      <c r="F12"/>
    </row>
    <row r="13">
      <c r="A13" t="n" s="35">
        <v>10</v>
      </c>
      <c r="B13" t="str" s="36">
        <v>追加部材・オプション</v>
      </c>
      <c r="C13" t="str" s="36">
        <v>options</v>
      </c>
      <c r="D13" t="str" s="36">
        <v>選択・確認</v>
      </c>
      <c r="E13" t="str" s="37">
        <v>対応する項目のみ表示</v>
      </c>
      <c r="F13"/>
    </row>
    <row r="14">
      <c r="A14" t="n" s="35">
        <v>11</v>
      </c>
      <c r="B14" t="str" s="36">
        <v>選択した部材の仕様</v>
      </c>
      <c r="C14" t="str" s="36">
        <v>part_detail</v>
      </c>
      <c r="D14" t="str" s="36">
        <v>選択・確認</v>
      </c>
      <c r="E14" t="str" s="37">
        <v>対応する項目のみ表示</v>
      </c>
      <c r="F14"/>
    </row>
    <row r="15">
      <c r="A15" t="n" s="35">
        <v>12</v>
      </c>
      <c r="B15" t="str" s="36">
        <v>現場採寸・取付条件</v>
      </c>
      <c r="C15" t="str" s="36">
        <v>survey</v>
      </c>
      <c r="D15" t="str" s="36">
        <v>選択・確認</v>
      </c>
      <c r="E15" t="str" s="37">
        <v>採寸後に再評価</v>
      </c>
      <c r="F15"/>
    </row>
    <row r="16">
      <c r="A16" t="n" s="38">
        <v>13</v>
      </c>
      <c r="B16" t="str" s="39">
        <v>製品寸法</v>
      </c>
      <c r="C16" t="str" s="39">
        <v>size</v>
      </c>
      <c r="D16" t="str" s="39">
        <v>選択・確認</v>
      </c>
      <c r="E16" t="str" s="40">
        <v>採寸後に再評価</v>
      </c>
      <c r="F16"/>
    </row>
    <row r="17">
      <c r="A17"/>
      <c r="B17"/>
      <c r="C17"/>
      <c r="D17"/>
      <c r="E17"/>
      <c r="F17"/>
    </row>
    <row r="18">
      <c r="A18"/>
      <c r="B18"/>
      <c r="C18"/>
      <c r="D18"/>
      <c r="E18"/>
      <c r="F18"/>
    </row>
    <row r="19">
      <c r="A19"/>
      <c r="B19"/>
      <c r="C19"/>
      <c r="D19"/>
      <c r="E19"/>
      <c r="F19"/>
    </row>
    <row r="20">
      <c r="A20"/>
      <c r="B20"/>
      <c r="C20"/>
      <c r="D20"/>
      <c r="E20"/>
      <c r="F20"/>
    </row>
    <row r="21">
      <c r="A21"/>
      <c r="B21"/>
      <c r="C21"/>
      <c r="D21"/>
      <c r="E21"/>
      <c r="F21"/>
    </row>
    <row r="22">
      <c r="A22"/>
      <c r="B22"/>
      <c r="C22"/>
      <c r="D22"/>
      <c r="E22"/>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