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replus-ui-v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1bda6432814f2b" /></Relationships>
</file>

<file path=xl/workbook.xml><?xml version="1.0" encoding="utf-8"?>
<workbook xmlns="http://schemas.openxmlformats.org/spreadsheetml/2006/main" xmlns:r="http://schemas.openxmlformats.org/officeDocument/2006/relationships">
  <sheets>
    <sheet name="00_INDEX" sheetId="1" r:id="R47f050e48df04e55"/>
    <sheet name="00_README" sheetId="2" r:id="R602f1159c4ab482f"/>
    <sheet name="01_入力フロー" sheetId="3" r:id="Rf5ba61e710c74ec2"/>
    <sheet name="02_取替方式" sheetId="4" r:id="R30bdcb406ff245a0"/>
    <sheet name="02A_商品構造" sheetId="5" r:id="R3426a2f2e2494e23"/>
    <sheet name="02B_参照商品" sheetId="6" r:id="Rb1bb4faf6a7a44a9"/>
    <sheet name="02C_供給方式" sheetId="7" r:id="R99fb16b9f23b49c9"/>
    <sheet name="02D_対応シリーズ" sheetId="8" r:id="R180f00cfaab64606"/>
    <sheet name="03_対応窓種" sheetId="9" r:id="R93ba29033bc84af8"/>
    <sheet name="04_窓種固有仕様" sheetId="10" r:id="R976aab50880e4597"/>
    <sheet name="05_サイズルール" sheetId="11" r:id="Rc6047f31330d4f0b"/>
    <sheet name="05B_カットモール寸法" sheetId="12" r:id="Rcf67420ba47d480d"/>
    <sheet name="06_色" sheetId="13" r:id="R64eda4c668d14afe"/>
    <sheet name="07_網戸参照" sheetId="14" r:id="R9b6af5f35fad491b"/>
    <sheet name="08_ガラス参照" sheetId="15" r:id="Re4b784a698774e69"/>
    <sheet name="09_施工部材" sheetId="16" r:id="Rb954b39d886d436b"/>
    <sheet name="09A_OP依存関係" sheetId="17" r:id="R02ae6599d9174148"/>
    <sheet name="10_適用条件" sheetId="18" r:id="Rd936155967e6457f"/>
    <sheet name="10B_現調項目" sheetId="19" r:id="R065a2903c2904b7f"/>
    <sheet name="10C_施工スペース" sheetId="20" r:id="R834df4b04e7e4e83"/>
    <sheet name="10D_施工条件" sheetId="21" r:id="Rf64eecc8cb7b4da3"/>
    <sheet name="11_見積入力テスト" sheetId="22" r:id="R900a0c6f54314aa7"/>
    <sheet name="12_共通参照" sheetId="23" r:id="R0cdc4e1ac40a4988"/>
    <sheet name="12A_他取替方式比較" sheetId="24" r:id="Ra8e6bc857eab4813"/>
    <sheet name="13_参照整合性監査" sheetId="25" r:id="Rb5053c4293f847ac"/>
    <sheet name="90_Evidence" sheetId="26" r:id="R32f4e83053304f88"/>
    <sheet name="99_QA" sheetId="27" r:id="R0b86fc4b44da495d"/>
    <sheet name="14_UI選択契約" sheetId="28" r:id="rIdReplusUiV9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i/>
      <x:sz val="9"/>
      <x:color rgb="FF1F2937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EAF2F5"/>
      </x:patternFill>
    </x:fill>
    <x:fill>
      <x:patternFill patternType="solid">
        <x:fgColor rgb="FF2F6B7C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<?xml version='1.0' encoding='utf-8'?>
<Relationships xmlns="http://schemas.openxmlformats.org/package/2006/relationships"><Relationship Type="http://schemas.openxmlformats.org/officeDocument/2006/relationships/styles" Target="/xl/styles.xml" Id="R13bb727faad14fc7" /><Relationship Type="http://schemas.openxmlformats.org/officeDocument/2006/relationships/theme" Target="/xl/theme/theme1.xml" Id="Rce6bd92b92a049c1" /><Relationship Type="http://schemas.microsoft.com/office/2022/11/relationships/FeaturePropertyBag" Target="/xl/featurePropertyBag/featurePropertyBag.xml" Id="R3a3a67345fd44c70" /><Relationship Type="http://schemas.openxmlformats.org/officeDocument/2006/relationships/sharedStrings" Target="/xl/sharedStrings.xml" Id="R33aa149cfa334a75" /><Relationship Type="http://schemas.openxmlformats.org/officeDocument/2006/relationships/worksheet" Target="/xl/worksheets/sheet1.xml" Id="R47f050e48df04e55" /><Relationship Type="http://schemas.openxmlformats.org/officeDocument/2006/relationships/worksheet" Target="/xl/worksheets/sheet2.xml" Id="R602f1159c4ab482f" /><Relationship Type="http://schemas.openxmlformats.org/officeDocument/2006/relationships/worksheet" Target="/xl/worksheets/sheet3.xml" Id="Rf5ba61e710c74ec2" /><Relationship Type="http://schemas.openxmlformats.org/officeDocument/2006/relationships/worksheet" Target="/xl/worksheets/sheet4.xml" Id="R30bdcb406ff245a0" /><Relationship Type="http://schemas.openxmlformats.org/officeDocument/2006/relationships/worksheet" Target="/xl/worksheets/sheet5.xml" Id="R3426a2f2e2494e23" /><Relationship Type="http://schemas.openxmlformats.org/officeDocument/2006/relationships/worksheet" Target="/xl/worksheets/sheet6.xml" Id="Rb1bb4faf6a7a44a9" /><Relationship Type="http://schemas.openxmlformats.org/officeDocument/2006/relationships/worksheet" Target="/xl/worksheets/sheet7.xml" Id="R99fb16b9f23b49c9" /><Relationship Type="http://schemas.openxmlformats.org/officeDocument/2006/relationships/worksheet" Target="/xl/worksheets/sheet8.xml" Id="R180f00cfaab64606" /><Relationship Type="http://schemas.openxmlformats.org/officeDocument/2006/relationships/worksheet" Target="/xl/worksheets/sheet9.xml" Id="R93ba29033bc84af8" /><Relationship Type="http://schemas.openxmlformats.org/officeDocument/2006/relationships/worksheet" Target="/xl/worksheets/sheet10.xml" Id="R976aab50880e4597" /><Relationship Type="http://schemas.openxmlformats.org/officeDocument/2006/relationships/worksheet" Target="/xl/worksheets/sheet11.xml" Id="Rc6047f31330d4f0b" /><Relationship Type="http://schemas.openxmlformats.org/officeDocument/2006/relationships/worksheet" Target="/xl/worksheets/sheet12.xml" Id="Rcf67420ba47d480d" /><Relationship Type="http://schemas.openxmlformats.org/officeDocument/2006/relationships/worksheet" Target="/xl/worksheets/sheet13.xml" Id="R64eda4c668d14afe" /><Relationship Type="http://schemas.openxmlformats.org/officeDocument/2006/relationships/worksheet" Target="/xl/worksheets/sheet14.xml" Id="R9b6af5f35fad491b" /><Relationship Type="http://schemas.openxmlformats.org/officeDocument/2006/relationships/worksheet" Target="/xl/worksheets/sheet15.xml" Id="Re4b784a698774e69" /><Relationship Type="http://schemas.openxmlformats.org/officeDocument/2006/relationships/worksheet" Target="/xl/worksheets/sheet16.xml" Id="Rb954b39d886d436b" /><Relationship Type="http://schemas.openxmlformats.org/officeDocument/2006/relationships/worksheet" Target="/xl/worksheets/sheet17.xml" Id="R02ae6599d9174148" /><Relationship Type="http://schemas.openxmlformats.org/officeDocument/2006/relationships/worksheet" Target="/xl/worksheets/sheet18.xml" Id="Rd936155967e6457f" /><Relationship Type="http://schemas.openxmlformats.org/officeDocument/2006/relationships/worksheet" Target="/xl/worksheets/sheet19.xml" Id="R065a2903c2904b7f" /><Relationship Type="http://schemas.openxmlformats.org/officeDocument/2006/relationships/worksheet" Target="/xl/worksheets/sheet20.xml" Id="R834df4b04e7e4e83" /><Relationship Type="http://schemas.openxmlformats.org/officeDocument/2006/relationships/worksheet" Target="/xl/worksheets/sheet21.xml" Id="Rf64eecc8cb7b4da3" /><Relationship Type="http://schemas.openxmlformats.org/officeDocument/2006/relationships/worksheet" Target="/xl/worksheets/sheet22.xml" Id="R900a0c6f54314aa7" /><Relationship Type="http://schemas.openxmlformats.org/officeDocument/2006/relationships/worksheet" Target="/xl/worksheets/sheet23.xml" Id="R0cdc4e1ac40a4988" /><Relationship Type="http://schemas.openxmlformats.org/officeDocument/2006/relationships/worksheet" Target="/xl/worksheets/sheet24.xml" Id="Ra8e6bc857eab4813" /><Relationship Type="http://schemas.openxmlformats.org/officeDocument/2006/relationships/worksheet" Target="/xl/worksheets/sheet25.xml" Id="Rb5053c4293f847ac" /><Relationship Type="http://schemas.openxmlformats.org/officeDocument/2006/relationships/worksheet" Target="/xl/worksheets/sheet26.xml" Id="R32f4e83053304f88" /><Relationship Type="http://schemas.openxmlformats.org/officeDocument/2006/relationships/worksheet" Target="/xl/worksheets/sheet27.xml" Id="R0b86fc4b44da495d" /><Relationship Id="rIdReplusUiV9" Type="http://schemas.openxmlformats.org/officeDocument/2006/relationships/worksheet" Target="worksheets/replus-ui-v9.xml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replus-ui-v9.xml><?xml version="1.0" encoding="utf-8"?>
<worksheet xmlns="http://schemas.openxmlformats.org/spreadsheetml/2006/main">
  <sheetFormatPr defaultRowHeight="15"/>
  <sheetData>
    <row r="1">
      <c r="A1" t="str" s="22">
        <v>リプラス住宅用・共通UI選択契約</v>
      </c>
      <c r="B1" s="22"/>
      <c r="C1" s="22"/>
      <c r="D1" s="22"/>
      <c r="E1" s="22"/>
      <c r="F1"/>
    </row>
    <row r="2">
      <c r="A2" t="str" s="22">
        <v>分類</v>
      </c>
      <c r="B2" t="str" s="22">
        <v>対象</v>
      </c>
      <c r="C2" t="str" s="22">
        <v>依存元</v>
      </c>
      <c r="D2" t="str" s="22">
        <v>処理</v>
      </c>
      <c r="E2" t="str" s="22">
        <v>根拠区分</v>
      </c>
      <c r="F2" t="str">
        <v>revision</v>
      </c>
    </row>
    <row r="3">
      <c r="A3" t="str" s="22">
        <v>SELECTION_LINKS</v>
      </c>
      <c r="B3" t="str" s="22">
        <v>cut_mall_color</v>
      </c>
      <c r="C3" t="str" s="22">
        <v>new_sash_exterior_color</v>
      </c>
      <c r="D3" t="str" s="22">
        <v>{"targetField": "cut_mall_color", "parents": ["new_sash_exterior_color"], "cases": [{"when": {"new_sash_exterior_color": "BLACK"}, "value": "T"}, {"when": {"new_sash_exterior_color": "T"}, "value": "T"}, {"when": {"new_sash_exterior_color": "EXT-T"}, "value": "T"}, {"when": {"new_sash_exterior_color": "EXT-LIX-T"}, "value": "T"}, {"when": {"new_sash_exterior_color": "AUTUMN_BROWN"}, "value": "G"}, {"when": {"new_sash_exterior_color": "G"}, "value": "G"}, {"when": {"new_sash_exterior_color": "EXT-G"}, "value": "G"}, {"when": {"new_sash_exterior_color": "EXT-LIX-G"}, "value": "G"}, {"when": {"new_sash_exterior_color": "SHINE_GRAY"}, "value": "K"}, {"when": {"new_sash_exterior_color": "K"}, "value": "K"}, {"when": {"new_sash_exterior_color": "EXT-K"}, "value": "K"}, {"when": {"new_sash_exterior_color": "EXT-LIX-K"}, "value": "K"}, {"when": {"new_sash_exterior_color": "NATURAL_SILVER"}, "value": "D"}, {"when": {"new_sash_exterior_color": "D"}, "value": "D"}, {"when": {"new_sash_exterior_color": "EXT-D"}, "value": "D"}, {"when": {"new_sash_exterior_color": "EXT-LIX-D"}, "value": "D"}, {"when": {"new_sash_exterior_color": "WHITE"}, "value": "W"}, {"when": {"new_sash_exterior_color": "W"}, "value": "W"}, {"when": {"new_sash_exterior_color": "EXT-W"}, "value": "W"}, {"when": {"new_sash_exterior_color": "EXT-LIX-W"}, "value": "W"}], "resolvedMessage": "本体外観色に連動しています。", "pendingMessage": "サッシ本体の色を選択してください。", "unavailableMessage": "本体色に対応するカバー部材の確認が必要です。"}</v>
      </c>
      <c r="E3" t="str" s="22">
        <v>USER_APPLICATION_POLICY</v>
      </c>
      <c r="F3" t="str">
        <v>REPLUS_DIMENSIONS_INNER_FIT_V11_20261014</v>
      </c>
    </row>
    <row r="4">
      <c r="A4" t="str" s="22">
        <v>SELECTION_LINKS</v>
      </c>
      <c r="B4" t="str" s="22">
        <v>interior_adjustment_angle_color</v>
      </c>
      <c r="C4" t="str" s="22">
        <v>new_sash_interior_color</v>
      </c>
      <c r="D4" t="str" s="22">
        <v>{"targetField": "interior_adjustment_angle_color", "parents": ["new_sash_interior_color"], "cases": [{"when": {"new_sash_interior_color": "BLACK"}, "value": "T"}, {"when": {"new_sash_interior_color": "M"}, "value": "T"}, {"when": {"new_sash_interior_color": "INT-M"}, "value": "T"}, {"when": {"new_sash_interior_color": "INT-LIX-M"}, "value": "T"}, {"when": {"new_sash_interior_color": "AUTUMN_BROWN"}, "value": "G"}, {"when": {"new_sash_interior_color": "G"}, "value": "G"}, {"when": {"new_sash_interior_color": "INT-G"}, "value": "G"}, {"when": {"new_sash_interior_color": "INT-LIX-G"}, "value": "G"}, {"when": {"new_sash_interior_color": "SHINE_GRAY"}, "value": "K"}, {"when": {"new_sash_interior_color": "K"}, "value": "K"}, {"when": {"new_sash_interior_color": "INT-K"}, "value": "K"}, {"when": {"new_sash_interior_color": "INT-LIX-K"}, "value": "K"}, {"when": {"new_sash_interior_color": "NATURAL_SILVER"}, "value": "D"}, {"when": {"new_sash_interior_color": "D"}, "value": "D"}, {"when": {"new_sash_interior_color": "INT-D"}, "value": "D"}, {"when": {"new_sash_interior_color": "INT-LIX-D"}, "value": "D"}, {"when": {"new_sash_interior_color": "WHITE"}, "value": "W"}, {"when": {"new_sash_interior_color": "W"}, "value": "W"}, {"when": {"new_sash_interior_color": "INT-W"}, "value": "W"}, {"when": {"new_sash_interior_color": "INT-LIX-W"}, "value": "W"}, {"when": {"new_sash_interior_color": "CREA_MOCHA"}, "value": "C"}, {"when": {"new_sash_interior_color": "C"}, "value": "C"}, {"when": {"new_sash_interior_color": "INT-C"}, "value": "C"}, {"when": {"new_sash_interior_color": "INT-LIX-C"}, "value": "C"}, {"when": {"new_sash_interior_color": "CREA_RUSK"}, "value": "B"}, {"when": {"new_sash_interior_color": "B"}, "value": "B"}, {"when": {"new_sash_interior_color": "INT-B"}, "value": "B"}, {"when": {"new_sash_interior_color": "INT-LIX-B"}, "value": "B"}, {"when": {"new_sash_interior_color": "CREA_PALE"}, "value": "P"}, {"when": {"new_sash_interior_color": "P"}, "value": "P"}, {"when": {"new_sash_interior_color": "INT-P"}, "value": "P"}, {"when": {"new_sash_interior_color": "INT-LIX-P"}, "value": "P"}, {"when": {"new_sash_interior_color": "PRECIOUS_WHITE"}, "value": "F"}, {"when": {"new_sash_interior_color": "F"}, "value": "F"}, {"when": {"new_sash_interior_color": "INT-F"}, "value": "F"}, {"when": {"new_sash_interior_color": "INT-LIX-F"}, "value": "F"}], "resolvedMessage": "本体内観色に連動しています。", "pendingMessage": "サッシ本体の色を選択してください。", "unavailableMessage": "本体色に対応するカバー部材の確認が必要です。"}</v>
      </c>
      <c r="E4" t="str" s="22">
        <v>USER_APPLICATION_POLICY</v>
      </c>
      <c r="F4" t="str">
        <v>REPLUS_DIMENSIONS_INNER_FIT_V11_20261014</v>
      </c>
    </row>
    <row r="5">
      <c r="A5" t="str" s="22">
        <v>フロー</v>
      </c>
      <c r="B5" t="str" s="22">
        <v>referenced_series_id</v>
      </c>
      <c r="C5" t="str" s="22"/>
      <c r="D5" t="str" s="22">
        <v>{"label": "新設サッシシリーズ", "group": "opening", "internal": false}</v>
      </c>
      <c r="E5" t="str" s="22">
        <v>UI_PRESENTATION</v>
      </c>
      <c r="F5" t="str">
        <v>REPLUS_DIMENSIONS_INNER_FIT_V11_20261014</v>
      </c>
    </row>
    <row r="6">
      <c r="A6" t="str" s="22">
        <v>フロー</v>
      </c>
      <c r="B6" t="str" s="22">
        <v>referenced_window_id</v>
      </c>
      <c r="C6" t="str" s="22">
        <v>referenced_series_id</v>
      </c>
      <c r="D6" t="str" s="22">
        <v>{"label": "新設サッシ窓種", "group": "opening", "internal": false}</v>
      </c>
      <c r="E6" t="str" s="22">
        <v>UI_PRESENTATION</v>
      </c>
      <c r="F6" t="str">
        <v>REPLUS_DIMENSIONS_INNER_FIT_V11_20261014</v>
      </c>
    </row>
    <row r="7">
      <c r="A7" t="str" s="22">
        <v>フロー</v>
      </c>
      <c r="B7" t="str" s="22">
        <v>cut_mall_color</v>
      </c>
      <c r="C7" t="str" s="22">
        <v>new_sash_exterior_color</v>
      </c>
      <c r="D7" t="str" s="22">
        <v>{"label": "化粧カバー色（外観色に連動）", "group": "exterior_finish", "internal": false}</v>
      </c>
      <c r="E7" t="str" s="22">
        <v>UI_PRESENTATION</v>
      </c>
      <c r="F7" t="str">
        <v>REPLUS_DIMENSIONS_INNER_FIT_V11_20261014</v>
      </c>
    </row>
    <row r="8">
      <c r="A8" t="str" s="22">
        <v>フロー</v>
      </c>
      <c r="B8" t="str" s="22">
        <v>new_construction_window_frame_color</v>
      </c>
      <c r="C8" t="str" s="22"/>
      <c r="D8" t="str" s="22">
        <v>{"label": "新設サッシ用窓枠色", "group": "part_detail", "internal": false}</v>
      </c>
      <c r="E8" t="str" s="22">
        <v>UI_PRESENTATION</v>
      </c>
      <c r="F8" t="str">
        <v>REPLUS_DIMENSIONS_INNER_FIT_V11_20261014</v>
      </c>
    </row>
    <row r="9">
      <c r="A9" t="str" s="22">
        <v>フロー</v>
      </c>
      <c r="B9" t="str" s="22">
        <v>interior_adjustment_angle_color</v>
      </c>
      <c r="C9" t="str" s="22">
        <v>new_sash_interior_color</v>
      </c>
      <c r="D9" t="str" s="22">
        <v>{"label": "室内カバー色（内観色に連動）", "group": "interior_finish", "internal": false}</v>
      </c>
      <c r="E9" t="str" s="22">
        <v>UI_PRESENTATION</v>
      </c>
      <c r="F9" t="str">
        <v>REPLUS_DIMENSIONS_INNER_FIT_V11_20261014</v>
      </c>
    </row>
    <row r="10">
      <c r="A10" t="str" s="22">
        <v>フロー</v>
      </c>
      <c r="B10" t="str" s="22">
        <v>cut_mall_window_frame_color</v>
      </c>
      <c r="C10" t="str" s="22"/>
      <c r="D10" t="str" s="22">
        <v>{"label": "カットモール用窓枠色", "group": "part_detail", "internal": false}</v>
      </c>
      <c r="E10" t="str" s="22">
        <v>UI_PRESENTATION</v>
      </c>
      <c r="F10" t="str">
        <v>REPLUS_DIMENSIONS_INNER_FIT_V11_20261014</v>
      </c>
    </row>
    <row r="11">
      <c r="A11" t="str" s="22">
        <v>フロー</v>
      </c>
      <c r="B11" t="str" s="22">
        <v>existing_sash_mount</v>
      </c>
      <c r="C11" t="str" s="22"/>
      <c r="D11" t="str" s="22">
        <v>{"label": "既設サッシの取付方式", "group": "context", "internal": false}</v>
      </c>
      <c r="E11" t="str" s="22">
        <v>UI_PRESENTATION</v>
      </c>
      <c r="F11" t="str">
        <v>REPLUS_DIMENSIONS_INNER_FIT_V11_20261014</v>
      </c>
    </row>
    <row r="12">
      <c r="A12" t="str" s="22">
        <v>フロー</v>
      </c>
      <c r="B12" t="str" s="22">
        <v>new_sash_size_relation</v>
      </c>
      <c r="C12" t="str" s="22"/>
      <c r="D12" t="str" s="22">
        <v>{"label": "新設と既設のサイズ関係", "group": "context", "internal": false}</v>
      </c>
      <c r="E12" t="str" s="22">
        <v>UI_PRESENTATION</v>
      </c>
      <c r="F12" t="str">
        <v>REPLUS_DIMENSIONS_INNER_FIT_V11_20261014</v>
      </c>
    </row>
    <row r="13">
      <c r="A13" t="str" s="22">
        <v>フロー</v>
      </c>
      <c r="B13" t="str" s="22">
        <v>existing_window_type</v>
      </c>
      <c r="C13" t="str" s="22"/>
      <c r="D13" t="str" s="22">
        <v>{"label": "既設窓の付属設備", "group": "context", "internal": false}</v>
      </c>
      <c r="E13" t="str" s="22">
        <v>UI_PRESENTATION</v>
      </c>
      <c r="F13" t="str">
        <v>REPLUS_DIMENSIONS_INNER_FIT_V11_20261014</v>
      </c>
    </row>
    <row r="14">
      <c r="A14" t="str" s="22">
        <v>フロー</v>
      </c>
      <c r="B14" t="str" s="22">
        <v>new_sash_mount</v>
      </c>
      <c r="C14" t="str" s="22">
        <v>existing_sash_mount</v>
      </c>
      <c r="D14" t="str" s="22">
        <v>{"label": "新設サッシの取付方式", "group": "context", "internal": false}</v>
      </c>
      <c r="E14" t="str" s="22">
        <v>UI_PRESENTATION</v>
      </c>
      <c r="F14" t="str">
        <v>REPLUS_DIMENSIONS_INNER_FIT_V11_20261014</v>
      </c>
    </row>
    <row r="15">
      <c r="A15" t="str" s="22">
        <v>フロー</v>
      </c>
      <c r="B15" t="str" s="22">
        <v>rain_pocket</v>
      </c>
      <c r="C15" t="str" s="22">
        <v>existing_window_type</v>
      </c>
      <c r="D15" t="str" s="22">
        <v>{"label": "雨戸の戸袋仕様", "group": "context", "internal": false}</v>
      </c>
      <c r="E15" t="str" s="22">
        <v>UI_PRESENTATION</v>
      </c>
      <c r="F15" t="str">
        <v>REPLUS_DIMENSIONS_INNER_FIT_V11_20261014</v>
      </c>
    </row>
    <row r="16">
      <c r="A16" t="str" s="22">
        <v>フロー</v>
      </c>
      <c r="B16" t="str" s="22">
        <v>survey_w</v>
      </c>
      <c r="C16" t="str" s="22"/>
      <c r="D16" t="str" s="22">
        <v>{"label": "採寸幅 WS（mm）", "group": "survey", "internal": false}</v>
      </c>
      <c r="E16" t="str" s="22">
        <v>UI_PRESENTATION</v>
      </c>
      <c r="F16" t="str">
        <v>REPLUS_DIMENSIONS_INNER_FIT_V11_20261014</v>
      </c>
    </row>
    <row r="17">
      <c r="A17" t="str" s="22">
        <v>フロー</v>
      </c>
      <c r="B17" t="str" s="22">
        <v>survey_h</v>
      </c>
      <c r="C17" t="str" s="22"/>
      <c r="D17" t="str" s="22">
        <v>{"label": "採寸高さ HS（mm）", "group": "survey", "internal": false}</v>
      </c>
      <c r="E17" t="str" s="22">
        <v>UI_PRESENTATION</v>
      </c>
      <c r="F17" t="str">
        <v>REPLUS_DIMENSIONS_INNER_FIT_V11_20261014</v>
      </c>
    </row>
    <row r="18">
      <c r="A18" t="str" s="22">
        <v>フロー</v>
      </c>
      <c r="B18" t="str" s="22">
        <v>survey_h</v>
      </c>
      <c r="C18" t="str" s="22"/>
      <c r="D18" t="str" s="22">
        <v>{"label": "採寸高さ HS（mm）", "group": "survey", "internal": false}</v>
      </c>
      <c r="E18" t="str" s="22">
        <v>UI_PRESENTATION</v>
      </c>
      <c r="F18" t="str">
        <v>REPLUS_SALES_FLOW_V10_20261014</v>
      </c>
    </row>
  </sheetData>
  <pageMargins left="0.7" right="0.7" top="0.75" bottom="0.75" header="0.3" footer="0.3"/>
</worksheet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0" hidden="0" customWidth="1"/>
    <x:col min="3" max="3" width="62" hidden="0" customWidth="1"/>
    <x:col min="4" max="4" width="28" hidden="0" customWidth="1"/>
  </x:cols>
  <x:sheetData>
    <x:row r="1">
      <x:c r="A1" s="28" t="str">
        <x:v>00_INDEX｜LIXIL リプラス 汎用カットモール v1.0</x:v>
      </x:c>
      <x:c r="B1" s="28"/>
      <x:c r="C1" s="28"/>
      <x:c r="D1" s="28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>
      <x:c r="A2" s="30" t="str">
        <x:v>RPL_CUT_MALL固有差分だけを保持し、新設サッシ本体仕様は4正本へ委譲。</x:v>
      </x:c>
      <x:c r="B2" s="30"/>
      <x:c r="C2" s="30"/>
      <x:c r="D2" s="30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29"/>
      <x:c r="Y2" s="29"/>
      <x:c r="Z2" s="29"/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>
      <x:c r="A4" s="31" t="str">
        <x:v>項目</x:v>
      </x:c>
      <x:c r="B4" s="31" t="str">
        <x:v>値</x:v>
      </x:c>
      <x:c r="C4" s="31" t="str">
        <x:v>説明</x:v>
      </x:c>
      <x:c r="D4" s="31" t="str">
        <x:v>Evidence</x:v>
      </x:c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  <x:c r="R4" s="29"/>
      <x:c r="S4" s="29"/>
      <x:c r="T4" s="29"/>
      <x:c r="U4" s="29"/>
      <x:c r="V4" s="29"/>
      <x:c r="W4" s="29"/>
      <x:c r="X4" s="29"/>
      <x:c r="Y4" s="29"/>
      <x:c r="Z4" s="29"/>
    </x:row>
    <x:row r="5">
      <x:c r="A5" s="32" t="str">
        <x:v>master_id</x:v>
      </x:c>
      <x:c r="B5" s="32" t="str">
        <x:v>LIXIL_RPL_CUT_MALL_V1_0</x:v>
      </x:c>
      <x:c r="C5" s="32" t="str">
        <x:v>RPL_CUT_MALL Authoring Master</x:v>
      </x:c>
      <x:c r="D5" s="32" t="str">
        <x:v>CM-EV-001</x:v>
      </x:c>
      <x:c r="E5" s="29"/>
      <x:c r="F5" s="29"/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  <x:c r="R5" s="29"/>
      <x:c r="S5" s="29"/>
      <x:c r="T5" s="29"/>
      <x:c r="U5" s="29"/>
      <x:c r="V5" s="29"/>
      <x:c r="W5" s="29"/>
      <x:c r="X5" s="29"/>
      <x:c r="Y5" s="29"/>
      <x:c r="Z5" s="29"/>
    </x:row>
    <x:row r="6">
      <x:c r="A6" s="32" t="str">
        <x:v>master_version</x:v>
      </x:c>
      <x:c r="B6" s="32" t="str">
        <x:v>v1.0</x:v>
      </x:c>
      <x:c r="C6" s="32" t="str">
        <x:v>新規Authoring Master</x:v>
      </x:c>
      <x:c r="D6" s="32" t="str">
        <x:v>CM-EV-016</x:v>
      </x:c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  <x:c r="R6" s="29"/>
      <x:c r="S6" s="29"/>
      <x:c r="T6" s="29"/>
      <x:c r="U6" s="29"/>
      <x:c r="V6" s="29"/>
      <x:c r="W6" s="29"/>
      <x:c r="X6" s="29"/>
      <x:c r="Y6" s="29"/>
      <x:c r="Z6" s="29"/>
    </x:row>
    <x:row r="7">
      <x:c r="A7" s="32" t="str">
        <x:v>package_version</x:v>
      </x:c>
      <x:c r="B7" s="32" t="str">
        <x:v>v1.1</x:v>
      </x:c>
      <x:c r="C7" s="32" t="str">
        <x:v>Replus package release version</x:v>
      </x:c>
      <x:c r="D7" s="32" t="str">
        <x:v>CM-EV-016</x:v>
      </x:c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  <x:c r="R7" s="29"/>
      <x:c r="S7" s="29"/>
      <x:c r="T7" s="29"/>
      <x:c r="U7" s="29"/>
      <x:c r="V7" s="29"/>
      <x:c r="W7" s="29"/>
      <x:c r="X7" s="29"/>
      <x:c r="Y7" s="29"/>
      <x:c r="Z7" s="29"/>
    </x:row>
    <x:row r="8">
      <x:c r="A8" s="32" t="str">
        <x:v>manufacturer</x:v>
      </x:c>
      <x:c r="B8" s="32" t="str">
        <x:v>LIXIL</x:v>
      </x:c>
      <x:c r="C8" s="32" t="str"/>
      <x:c r="D8" s="32" t="str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  <x:c r="X8" s="29"/>
      <x:c r="Y8" s="29"/>
      <x:c r="Z8" s="29"/>
    </x:row>
    <x:row r="9">
      <x:c r="A9" s="32" t="str">
        <x:v>series</x:v>
      </x:c>
      <x:c r="B9" s="32" t="str">
        <x:v>リプラス</x:v>
      </x:c>
      <x:c r="C9" s="32" t="str"/>
      <x:c r="D9" s="32" t="str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  <x:c r="X9" s="29"/>
      <x:c r="Y9" s="29"/>
      <x:c r="Z9" s="29"/>
    </x:row>
    <x:row r="10">
      <x:c r="A10" s="32" t="str">
        <x:v>installation_system</x:v>
      </x:c>
      <x:c r="B10" s="32" t="str">
        <x:v>RPL_CUT_MALL</x:v>
      </x:c>
      <x:c r="C10" s="32" t="str">
        <x:v>独立取替方式</x:v>
      </x:c>
      <x:c r="D10" s="32" t="str">
        <x:v>CM-EV-002</x:v>
      </x:c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  <x:c r="X10" s="29"/>
      <x:c r="Y10" s="29"/>
      <x:c r="Z10" s="29"/>
    </x:row>
    <x:row r="11">
      <x:c r="A11" s="32" t="str">
        <x:v>installation_system_name</x:v>
      </x:c>
      <x:c r="B11" s="32" t="str">
        <x:v>汎用カットモール</x:v>
      </x:c>
      <x:c r="C11" s="32" t="str"/>
      <x:c r="D11" s="32" t="str">
        <x:v>CM-EV-002</x:v>
      </x:c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  <x:c r="Z11" s="29"/>
    </x:row>
    <x:row r="12">
      <x:c r="A12" s="32" t="str">
        <x:v>product_role</x:v>
      </x:c>
      <x:c r="B12" s="32" t="str">
        <x:v>壁切断＋既設枠撤去＋新設サッシ＋外周モール仕上げ</x:v>
      </x:c>
      <x:c r="C12" s="32" t="str">
        <x:v>壁工事あり</x:v>
      </x:c>
      <x:c r="D12" s="32" t="str">
        <x:v>CM-EV-002</x:v>
      </x:c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  <x:c r="Z12" s="29"/>
    </x:row>
    <x:row r="13">
      <x:c r="A13" s="32" t="str">
        <x:v>supported_series</x:v>
      </x:c>
      <x:c r="B13" s="32" t="str">
        <x:v>TW / サーモスⅡ-H / サーモスL / サーモスA</x:v>
      </x:c>
      <x:c r="C13" s="32" t="str">
        <x:v>SSOT参照</x:v>
      </x:c>
      <x:c r="D13" s="32" t="str">
        <x:v>CM-EV-002～006</x:v>
      </x:c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  <x:c r="Z13" s="29"/>
    </x:row>
    <x:row r="14">
      <x:c r="A14" s="32" t="str">
        <x:v>authoring_status</x:v>
      </x:c>
      <x:c r="B14" s="32" t="str">
        <x:v>PASS</x:v>
      </x:c>
      <x:c r="C14" s="32" t="str">
        <x:v>通常見積必須PENDING=0</x:v>
      </x:c>
      <x:c r="D14" s="32" t="str">
        <x:v>99_QA</x:v>
      </x:c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  <x:c r="Z14" s="29"/>
    </x:row>
    <x:row r="15">
      <x:c r="A15" s="32" t="str">
        <x:v>package_status</x:v>
      </x:c>
      <x:c r="B15" s="32" t="str">
        <x:v>AUTHORING_PASS_RUNTIME_READY_TO_BUILD</x:v>
      </x:c>
      <x:c r="C15" s="32" t="str">
        <x:v>Runtime/Manifestと同期対象</x:v>
      </x:c>
      <x:c r="D15" s="32" t="str">
        <x:v>CM-EV-016</x:v>
      </x:c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</x:row>
    <x:row r="16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  <x:c r="X16" s="29"/>
      <x:c r="Y16" s="29"/>
      <x:c r="Z16" s="29"/>
    </x:row>
    <x:row r="17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  <x:c r="X17" s="29"/>
      <x:c r="Y17" s="29"/>
      <x:c r="Z17" s="29"/>
    </x:row>
    <x:row r="18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  <x:c r="X18" s="29"/>
      <x:c r="Y18" s="29"/>
      <x:c r="Z18" s="29"/>
    </x:row>
    <x:row r="19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  <x:c r="X19" s="29"/>
      <x:c r="Y19" s="29"/>
      <x:c r="Z19" s="29"/>
    </x:row>
    <x:row r="20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  <x:c r="X20" s="29"/>
      <x:c r="Y20" s="29"/>
      <x:c r="Z20" s="29"/>
    </x:row>
    <x:row r="2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  <x:c r="X21" s="29"/>
      <x:c r="Y21" s="29"/>
      <x:c r="Z21" s="29"/>
    </x:row>
    <x:row r="22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  <x:c r="X22" s="29"/>
      <x:c r="Y22" s="29"/>
      <x:c r="Z22" s="29"/>
    </x:row>
    <x:row r="23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  <x:c r="Y23" s="29"/>
      <x:c r="Z23" s="29"/>
    </x:row>
    <x:row r="24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  <x:c r="X24" s="29"/>
      <x:c r="Y24" s="29"/>
      <x:c r="Z24" s="29"/>
    </x:row>
    <x:row r="25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</x:row>
    <x:row r="26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  <x:c r="X26" s="29"/>
      <x:c r="Y26" s="29"/>
      <x:c r="Z26" s="29"/>
    </x:row>
    <x:row r="27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  <x:c r="X27" s="29"/>
      <x:c r="Y27" s="29"/>
      <x:c r="Z27" s="29"/>
    </x:row>
    <x:row r="28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  <x:c r="X28" s="29"/>
      <x:c r="Y28" s="29"/>
      <x:c r="Z28" s="29"/>
    </x:row>
    <x:row r="29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  <x:c r="X29" s="29"/>
      <x:c r="Y29" s="29"/>
      <x:c r="Z29" s="29"/>
    </x:row>
    <x:row r="30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  <x:c r="X30" s="29"/>
      <x:c r="Y30" s="29"/>
      <x:c r="Z30" s="29"/>
    </x:row>
    <x:row r="3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  <x:c r="X31" s="29"/>
      <x:c r="Y31" s="29"/>
      <x:c r="Z31" s="29"/>
    </x:row>
    <x:row r="32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  <x:c r="X32" s="29"/>
      <x:c r="Y32" s="29"/>
      <x:c r="Z32" s="29"/>
    </x:row>
    <x:row r="33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  <x:c r="Z33" s="29"/>
    </x:row>
    <x:row r="34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  <x:c r="X34" s="29"/>
      <x:c r="Y34" s="29"/>
      <x:c r="Z34" s="29"/>
    </x:row>
    <x:row r="35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29"/>
      <x:c r="Z35" s="29"/>
    </x:row>
    <x:row r="36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  <x:c r="Y36" s="29"/>
      <x:c r="Z36" s="29"/>
    </x:row>
    <x:row r="37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  <x:c r="Y37" s="29"/>
      <x:c r="Z37" s="29"/>
    </x:row>
    <x:row r="38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  <x:c r="X38" s="29"/>
      <x:c r="Y38" s="29"/>
      <x:c r="Z38" s="29"/>
    </x:row>
    <x:row r="39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  <x:c r="X39" s="29"/>
      <x:c r="Y39" s="29"/>
      <x:c r="Z39" s="29"/>
    </x:row>
    <x:row r="40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  <x:c r="Y40" s="29"/>
      <x:c r="Z40" s="29"/>
    </x:row>
    <x:row r="4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  <x:c r="X41" s="29"/>
      <x:c r="Y41" s="29"/>
      <x:c r="Z41" s="29"/>
    </x:row>
    <x:row r="42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  <x:c r="X42" s="29"/>
      <x:c r="Y42" s="29"/>
      <x:c r="Z42" s="29"/>
    </x:row>
    <x:row r="43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  <x:c r="X43" s="29"/>
      <x:c r="Y43" s="29"/>
      <x:c r="Z43" s="29"/>
    </x:row>
    <x:row r="44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  <x:c r="X44" s="29"/>
      <x:c r="Y44" s="29"/>
      <x:c r="Z44" s="29"/>
    </x:row>
    <x:row r="45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  <x:c r="X45" s="29"/>
      <x:c r="Y45" s="29"/>
      <x:c r="Z45" s="29"/>
    </x:row>
    <x:row r="46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  <x:c r="X46" s="29"/>
      <x:c r="Y46" s="29"/>
      <x:c r="Z46" s="29"/>
    </x:row>
    <x:row r="47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  <x:c r="X47" s="29"/>
      <x:c r="Y47" s="29"/>
      <x:c r="Z47" s="29"/>
    </x:row>
    <x:row r="48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  <x:c r="X48" s="29"/>
      <x:c r="Y48" s="29"/>
      <x:c r="Z48" s="29"/>
    </x:row>
    <x:row r="49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  <x:c r="X49" s="29"/>
      <x:c r="Y49" s="29"/>
      <x:c r="Z49" s="29"/>
    </x:row>
    <x:row r="50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  <x:c r="X50" s="29"/>
      <x:c r="Y50" s="29"/>
      <x:c r="Z50" s="29"/>
    </x:row>
    <x:row r="5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  <x:c r="X51" s="29"/>
      <x:c r="Y51" s="29"/>
      <x:c r="Z51" s="29"/>
    </x:row>
    <x:row r="52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  <x:c r="X52" s="29"/>
      <x:c r="Y52" s="29"/>
      <x:c r="Z52" s="29"/>
    </x:row>
    <x:row r="53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  <x:c r="X53" s="29"/>
      <x:c r="Y53" s="29"/>
      <x:c r="Z53" s="29"/>
    </x:row>
    <x:row r="54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  <x:c r="X54" s="29"/>
      <x:c r="Y54" s="29"/>
      <x:c r="Z54" s="29"/>
    </x:row>
    <x:row r="55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  <x:c r="X55" s="29"/>
      <x:c r="Y55" s="29"/>
      <x:c r="Z55" s="29"/>
    </x:row>
    <x:row r="56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  <x:c r="X56" s="29"/>
      <x:c r="Y56" s="29"/>
      <x:c r="Z56" s="29"/>
    </x:row>
    <x:row r="57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  <x:c r="X57" s="29"/>
      <x:c r="Y57" s="29"/>
      <x:c r="Z57" s="29"/>
    </x:row>
    <x:row r="58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  <x:c r="X58" s="29"/>
      <x:c r="Y58" s="29"/>
      <x:c r="Z58" s="29"/>
    </x:row>
    <x:row r="59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  <x:c r="X59" s="29"/>
      <x:c r="Y59" s="29"/>
      <x:c r="Z59" s="29"/>
    </x:row>
    <x:row r="60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  <x:c r="X60" s="29"/>
      <x:c r="Y60" s="29"/>
      <x:c r="Z60" s="29"/>
    </x:row>
    <x:row r="6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  <x:c r="X61" s="29"/>
      <x:c r="Y61" s="29"/>
      <x:c r="Z61" s="29"/>
    </x:row>
    <x:row r="62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  <x:c r="X62" s="29"/>
      <x:c r="Y62" s="29"/>
      <x:c r="Z62" s="29"/>
    </x:row>
    <x:row r="63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  <x:c r="X63" s="29"/>
      <x:c r="Y63" s="29"/>
      <x:c r="Z63" s="29"/>
    </x:row>
    <x:row r="64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  <x:c r="X64" s="29"/>
      <x:c r="Y64" s="29"/>
      <x:c r="Z64" s="29"/>
    </x:row>
    <x:row r="65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  <x:c r="X65" s="29"/>
      <x:c r="Y65" s="29"/>
      <x:c r="Z65" s="29"/>
    </x:row>
    <x:row r="66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  <x:c r="X66" s="29"/>
      <x:c r="Y66" s="29"/>
      <x:c r="Z66" s="29"/>
    </x:row>
    <x:row r="67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  <x:c r="X67" s="29"/>
      <x:c r="Y67" s="29"/>
      <x:c r="Z67" s="29"/>
    </x:row>
    <x:row r="68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  <x:c r="X68" s="29"/>
      <x:c r="Y68" s="29"/>
      <x:c r="Z68" s="29"/>
    </x:row>
    <x:row r="69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  <x:c r="X69" s="29"/>
      <x:c r="Y69" s="29"/>
      <x:c r="Z69" s="29"/>
    </x:row>
    <x:row r="70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  <x:c r="X70" s="29"/>
      <x:c r="Y70" s="29"/>
      <x:c r="Z70" s="29"/>
    </x:row>
    <x:row r="7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  <x:c r="X71" s="29"/>
      <x:c r="Y71" s="29"/>
      <x:c r="Z71" s="29"/>
    </x:row>
    <x:row r="72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  <x:c r="X72" s="29"/>
      <x:c r="Y72" s="29"/>
      <x:c r="Z72" s="29"/>
    </x:row>
    <x:row r="73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  <x:c r="X73" s="29"/>
      <x:c r="Y73" s="29"/>
      <x:c r="Z73" s="29"/>
    </x:row>
    <x:row r="74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  <x:c r="X74" s="29"/>
      <x:c r="Y74" s="29"/>
      <x:c r="Z74" s="29"/>
    </x:row>
    <x:row r="75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  <x:c r="X75" s="29"/>
      <x:c r="Y75" s="29"/>
      <x:c r="Z75" s="29"/>
    </x:row>
    <x:row r="76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  <x:c r="X76" s="29"/>
      <x:c r="Y76" s="29"/>
      <x:c r="Z76" s="29"/>
    </x:row>
    <x:row r="77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  <x:c r="X77" s="29"/>
      <x:c r="Y77" s="29"/>
      <x:c r="Z77" s="29"/>
    </x:row>
    <x:row r="78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  <x:c r="X78" s="29"/>
      <x:c r="Y78" s="29"/>
      <x:c r="Z78" s="29"/>
    </x:row>
    <x:row r="79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  <x:c r="X79" s="29"/>
      <x:c r="Y79" s="29"/>
      <x:c r="Z79" s="29"/>
    </x:row>
    <x:row r="80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  <x:c r="X80" s="29"/>
      <x:c r="Y80" s="29"/>
      <x:c r="Z80" s="29"/>
    </x:row>
    <x:row r="8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  <x:c r="X81" s="29"/>
      <x:c r="Y81" s="29"/>
      <x:c r="Z81" s="29"/>
    </x:row>
    <x:row r="82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  <x:c r="X82" s="29"/>
      <x:c r="Y82" s="29"/>
      <x:c r="Z82" s="29"/>
    </x:row>
    <x:row r="83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  <x:c r="X83" s="29"/>
      <x:c r="Y83" s="29"/>
      <x:c r="Z83" s="29"/>
    </x:row>
    <x:row r="84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  <x:c r="X84" s="29"/>
      <x:c r="Y84" s="29"/>
      <x:c r="Z84" s="29"/>
    </x:row>
    <x:row r="85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  <x:c r="X85" s="29"/>
      <x:c r="Y85" s="29"/>
      <x:c r="Z85" s="29"/>
    </x:row>
    <x:row r="86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  <x:c r="X86" s="29"/>
      <x:c r="Y86" s="29"/>
      <x:c r="Z86" s="29"/>
    </x:row>
    <x:row r="87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  <x:c r="X87" s="29"/>
      <x:c r="Y87" s="29"/>
      <x:c r="Z87" s="29"/>
    </x:row>
    <x:row r="88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  <x:c r="X88" s="29"/>
      <x:c r="Y88" s="29"/>
      <x:c r="Z88" s="29"/>
    </x:row>
    <x:row r="89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  <x:c r="X89" s="29"/>
      <x:c r="Y89" s="29"/>
      <x:c r="Z89" s="29"/>
    </x:row>
    <x:row r="90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  <x:c r="X90" s="29"/>
      <x:c r="Y90" s="29"/>
      <x:c r="Z90" s="29"/>
    </x:row>
    <x:row r="9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  <x:c r="X91" s="29"/>
      <x:c r="Y91" s="29"/>
      <x:c r="Z91" s="29"/>
    </x:row>
    <x:row r="92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  <x:c r="X92" s="29"/>
      <x:c r="Y92" s="29"/>
      <x:c r="Z92" s="29"/>
    </x:row>
    <x:row r="93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  <x:c r="X93" s="29"/>
      <x:c r="Y93" s="29"/>
      <x:c r="Z93" s="29"/>
    </x:row>
    <x:row r="94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  <x:c r="X94" s="29"/>
      <x:c r="Y94" s="29"/>
      <x:c r="Z94" s="29"/>
    </x:row>
    <x:row r="95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  <x:c r="X95" s="29"/>
      <x:c r="Y95" s="29"/>
      <x:c r="Z95" s="29"/>
    </x:row>
    <x:row r="96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  <x:c r="X96" s="29"/>
      <x:c r="Y96" s="29"/>
      <x:c r="Z96" s="29"/>
    </x:row>
    <x:row r="97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  <x:c r="X97" s="29"/>
      <x:c r="Y97" s="29"/>
      <x:c r="Z97" s="29"/>
    </x:row>
    <x:row r="98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  <x:c r="X98" s="29"/>
      <x:c r="Y98" s="29"/>
      <x:c r="Z98" s="29"/>
    </x:row>
    <x:row r="99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  <x:c r="X99" s="29"/>
      <x:c r="Y99" s="29"/>
      <x:c r="Z99" s="29"/>
    </x:row>
    <x:row r="100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  <x:c r="X100" s="29"/>
      <x:c r="Y100" s="29"/>
      <x:c r="Z100" s="29"/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10" hidden="0" customWidth="1"/>
  </x:cols>
  <x:sheetData>
    <x:row r="1">
      <x:c r="A1" s="4" t="str">
        <x:v>00_README｜責任分界</x:v>
      </x:c>
      <x:c r="B1" s="4"/>
    </x:row>
    <x:row r="2">
      <x:c r="A2" s="10" t="str">
        <x:v>本体色・網戸・ガラス・OP・本体製作範囲を二重登録しない。</x:v>
      </x:c>
      <x:c r="B2" s="10"/>
    </x:row>
    <x:row r="4">
      <x:c r="A4" s="17" t="str">
        <x:v>key</x:v>
      </x:c>
      <x:c r="B4" s="17" t="str">
        <x:v>value</x:v>
      </x:c>
    </x:row>
    <x:row r="5">
      <x:c r="A5" s="22" t="str">
        <x:v>manufacturer</x:v>
      </x:c>
      <x:c r="B5" s="22" t="str">
        <x:v>LIXIL</x:v>
      </x:c>
    </x:row>
    <x:row r="6">
      <x:c r="A6" s="22" t="str">
        <x:v>series</x:v>
      </x:c>
      <x:c r="B6" s="22" t="str">
        <x:v>リプラス</x:v>
      </x:c>
    </x:row>
    <x:row r="7">
      <x:c r="A7" s="22" t="str">
        <x:v>master_id</x:v>
      </x:c>
      <x:c r="B7" s="22" t="str">
        <x:v>LIXIL_RPL_CUT_MALL_V1_0</x:v>
      </x:c>
    </x:row>
    <x:row r="8">
      <x:c r="A8" s="22" t="str">
        <x:v>master_version</x:v>
      </x:c>
      <x:c r="B8" s="22" t="str">
        <x:v>v1.0</x:v>
      </x:c>
    </x:row>
    <x:row r="9">
      <x:c r="A9" s="22" t="str">
        <x:v>package_version</x:v>
      </x:c>
      <x:c r="B9" s="22" t="str">
        <x:v>v1.1</x:v>
      </x:c>
    </x:row>
    <x:row r="10">
      <x:c r="A10" s="22" t="str">
        <x:v>installation_system</x:v>
      </x:c>
      <x:c r="B10" s="22" t="str">
        <x:v>RPL_CUT_MALL</x:v>
      </x:c>
    </x:row>
    <x:row r="11">
      <x:c r="A11" s="22" t="str">
        <x:v>reference_architecture</x:v>
      </x:c>
      <x:c r="B11" s="22" t="str">
        <x:v>MULTI_REFERENCE / SINGLE_SOURCE_OF_TRUTH</x:v>
      </x:c>
    </x:row>
    <x:row r="12">
      <x:c r="A12" s="22" t="str">
        <x:v>runtime_policy</x:v>
      </x:c>
      <x:c r="B12" s="22" t="str">
        <x:v>本AuthoringをRuntime JSONへ変換。Authoring Excelだけで完了扱いにしない。</x:v>
      </x:c>
    </x:row>
    <x:row r="13">
      <x:c r="A13" s="22" t="str">
        <x:v>normal_ui</x:v>
      </x:c>
      <x:c r="B13" s="22" t="str">
        <x:v>既設条件→対応シリーズ→窓種/仕様→新設サイズ→CUT-MALL寸法→施工条件→本体仕様→施工部材</x:v>
      </x:c>
    </x:row>
    <x:row r="14">
      <x:c r="A14" s="22" t="str">
        <x:v>wind_pressure</x:v>
      </x:c>
      <x:c r="B14" s="22" t="str">
        <x:v>通常必須入力にしない。特殊案件はCOMPLETE_WITH_EXTERNAL_CHECK。</x:v>
      </x:c>
    </x:row>
    <x:row r="15">
      <x:c r="A15" s="22" t="str">
        <x:v>final_status</x:v>
      </x:c>
      <x:c r="B15" s="22" t="str">
        <x:v>FORMAL_PASSはAPG+Storage Gate+Registry完了後のみ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3.xml><?xml version="1.0" encoding="utf-8"?>
<worksheet xmlns="http://schemas.openxmlformats.org/spreadsheetml/2006/main">
  <sheetFormatPr defaultRowHeight="15"/>
  <cols>
    <col min="1" max="1" width="10" hidden="0" customWidth="1"/>
    <col min="2" max="2" width="28" hidden="0" customWidth="1"/>
    <col min="3" max="3" width="30" hidden="0" customWidth="1"/>
    <col min="4" max="4" width="78" hidden="0" customWidth="1"/>
    <col min="5" max="5" width="18" hidden="0" customWidth="1"/>
  </cols>
  <sheetData>
    <row r="1">
      <c r="A1" t="str" s="4">
        <v>リプラス住宅用・グローバルセレクションフロー</v>
      </c>
      <c r="B1" s="4"/>
      <c r="C1" s="4"/>
      <c r="D1" s="4"/>
      <c r="E1" s="4"/>
      <c r="F1"/>
    </row>
    <row r="2">
      <c r="A2" s="17"/>
      <c r="B2" s="17"/>
      <c r="C2" s="17"/>
      <c r="D2" s="17"/>
      <c r="E2" s="17"/>
      <c r="F2"/>
    </row>
    <row r="3">
      <c r="A3" t="str" s="22">
        <v>順番</v>
      </c>
      <c r="B3" t="str" s="22">
        <v>表示項目</v>
      </c>
      <c r="C3" t="str" s="22">
        <v>データキー</v>
      </c>
      <c r="D3" t="str" s="22">
        <v>候補/入力</v>
      </c>
      <c r="E3" t="str" s="22">
        <v>制御方針</v>
      </c>
      <c r="F3"/>
    </row>
    <row r="4">
      <c r="A4" t="n" s="22">
        <v>1</v>
      </c>
      <c r="B4" t="str" s="22">
        <v>商品・リプラス仕様</v>
      </c>
      <c r="C4" t="str" s="22">
        <v>product / specification</v>
      </c>
      <c r="D4" t="str" s="22">
        <v>リプラス住宅用 → 仕様</v>
      </c>
      <c r="E4" t="str" s="22">
        <v>アプリ運用ルール</v>
      </c>
      <c r="F4"/>
    </row>
    <row r="5">
      <c r="A5" t="n" s="22">
        <v>2</v>
      </c>
      <c r="B5" t="str" s="22">
        <v>設置・施工条件</v>
      </c>
      <c r="C5" t="str" s="22">
        <v>context</v>
      </c>
      <c r="D5" t="str" s="22">
        <v>選択・確認</v>
      </c>
      <c r="E5" t="str" s="22">
        <v>対応する項目のみ表示</v>
      </c>
      <c r="F5"/>
    </row>
    <row r="6">
      <c r="A6" t="n" s="22">
        <v>3</v>
      </c>
      <c r="B6" t="str" s="22">
        <v>窓種・基本仕様</v>
      </c>
      <c r="C6" t="str" s="22">
        <v>opening</v>
      </c>
      <c r="D6" t="str" s="22">
        <v>選択・確認</v>
      </c>
      <c r="E6" t="str" s="22">
        <v>対応する項目のみ表示</v>
      </c>
      <c r="F6"/>
    </row>
    <row r="7">
      <c r="A7" t="n" s="22">
        <v>4</v>
      </c>
      <c r="B7" t="str" s="22">
        <v>室内側の仕上げ・アングルカバー</v>
      </c>
      <c r="C7" t="str" s="22">
        <v>interior_finish</v>
      </c>
      <c r="D7" t="str" s="22">
        <v>選択・確認</v>
      </c>
      <c r="E7" t="str" s="22">
        <v>対応する項目のみ表示</v>
      </c>
      <c r="F7"/>
    </row>
    <row r="8">
      <c r="A8" t="n" s="22">
        <v>5</v>
      </c>
      <c r="B8" t="str" s="22">
        <v>室外側の仕上げ・化粧カバー</v>
      </c>
      <c r="C8" t="str" s="22">
        <v>exterior_finish</v>
      </c>
      <c r="D8" t="str" s="22">
        <v>選択・確認</v>
      </c>
      <c r="E8" t="str" s="22">
        <v>対応する項目のみ表示</v>
      </c>
      <c r="F8"/>
    </row>
    <row r="9">
      <c r="A9" t="n" s="22">
        <v>6</v>
      </c>
      <c r="B9" t="str" s="22">
        <v>選択した部材の仕様</v>
      </c>
      <c r="C9" t="str" s="22">
        <v>part_detail</v>
      </c>
      <c r="D9" t="str" s="22">
        <v>選択・確認</v>
      </c>
      <c r="E9" t="str" s="22">
        <v>対応する項目のみ表示</v>
      </c>
      <c r="F9"/>
    </row>
    <row r="10">
      <c r="A10" t="n" s="22">
        <v>7</v>
      </c>
      <c r="B10" t="str" s="22">
        <v>現場採寸・取付条件</v>
      </c>
      <c r="C10" t="str" s="22">
        <v>survey</v>
      </c>
      <c r="D10" t="str" s="22">
        <v>選択・確認</v>
      </c>
      <c r="E10" t="str" s="22">
        <v>対応する項目のみ表示</v>
      </c>
      <c r="F10"/>
    </row>
    <row r="11">
      <c r="A11" s="22"/>
      <c r="B11" s="22"/>
      <c r="C11" s="22"/>
      <c r="D11" s="22"/>
      <c r="E11" s="22"/>
      <c r="F11"/>
    </row>
    <row r="12">
      <c r="A12" s="22"/>
      <c r="B12" s="22"/>
      <c r="C12" s="22"/>
      <c r="D12" s="22"/>
      <c r="E12" s="22"/>
      <c r="F12"/>
    </row>
    <row r="13">
      <c r="A13"/>
      <c r="B13"/>
      <c r="C13"/>
      <c r="D13"/>
      <c r="E13"/>
      <c r="F13"/>
    </row>
    <row r="14">
      <c r="A14"/>
      <c r="B14"/>
      <c r="C14"/>
      <c r="D14"/>
      <c r="E14"/>
      <c r="F14"/>
    </row>
    <row r="15">
      <c r="A15"/>
      <c r="B15"/>
      <c r="C15"/>
      <c r="D15"/>
      <c r="E15"/>
      <c r="F15"/>
    </row>
    <row r="16">
      <c r="A16"/>
      <c r="B16"/>
      <c r="C16"/>
      <c r="D16"/>
      <c r="E16"/>
      <c r="F16"/>
    </row>
    <row r="17">
      <c r="A17"/>
      <c r="B17"/>
      <c r="C17"/>
      <c r="D17"/>
      <c r="E17"/>
      <c r="F17"/>
    </row>
    <row r="18">
      <c r="A18"/>
      <c r="B18"/>
      <c r="C18"/>
      <c r="D18"/>
      <c r="E18"/>
      <c r="F18"/>
    </row>
    <row r="19">
      <c r="A19"/>
      <c r="B19"/>
      <c r="C19"/>
      <c r="D19"/>
      <c r="E19"/>
      <c r="F19"/>
    </row>
    <row r="20">
      <c r="A20"/>
      <c r="B20"/>
      <c r="C20"/>
      <c r="D20"/>
      <c r="E20"/>
      <c r="F20"/>
    </row>
    <row r="21">
      <c r="A21"/>
      <c r="B21"/>
      <c r="C21"/>
      <c r="D21"/>
      <c r="E21"/>
      <c r="F21"/>
    </row>
    <row r="22">
      <c r="A22"/>
      <c r="B22"/>
      <c r="C22"/>
      <c r="D22"/>
      <c r="E22"/>
      <c r="F22"/>
    </row>
    <row r="23">
      <c r="A23"/>
      <c r="B23"/>
      <c r="C23"/>
      <c r="D23"/>
      <c r="E23"/>
      <c r="F23"/>
    </row>
    <row r="24">
      <c r="A24"/>
      <c r="B24"/>
      <c r="C24"/>
      <c r="D24"/>
      <c r="E24"/>
      <c r="F24"/>
    </row>
  </sheetData>
  <mergeCells>
    <mergeCell ref="A1:E1"/>
  </mergeCells>
  <pageMargins left="0.7" right="0.7" top="0.75" bottom="0.75" header="0.3" footer="0.3"/>
</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18" hidden="0" customWidth="1"/>
    <x:col min="4" max="4" width="22" hidden="0" customWidth="1"/>
    <x:col min="5" max="5" width="34" hidden="0" customWidth="1"/>
    <x:col min="6" max="6" width="18" hidden="0" customWidth="1"/>
    <x:col min="7" max="7" width="24" hidden="0" customWidth="1"/>
  </x:cols>
  <x:sheetData>
    <x:row r="1">
      <x:c r="A1" s="4" t="str">
        <x:v>02_取替方式｜installation_system</x:v>
      </x:c>
      <x:c r="B1" s="4"/>
      <x:c r="C1" s="4"/>
      <x:c r="D1" s="4"/>
      <x:c r="E1" s="4"/>
      <x:c r="F1" s="4"/>
      <x:c r="G1" s="4"/>
    </x:row>
    <x:row r="2">
      <x:c r="A2" s="17" t="str">
        <x:v>id</x:v>
      </x:c>
      <x:c r="B2" s="17" t="str">
        <x:v>名称</x:v>
      </x:c>
      <x:c r="C2" s="17" t="str">
        <x:v>wall_work</x:v>
      </x:c>
      <x:c r="D2" s="17" t="str">
        <x:v>existing_frame</x:v>
      </x:c>
      <x:c r="E2" s="17" t="str">
        <x:v>new_sash</x:v>
      </x:c>
      <x:c r="F2" s="17" t="str">
        <x:v>status</x:v>
      </x:c>
      <x:c r="G2" s="17" t="str">
        <x:v>evidence</x:v>
      </x:c>
    </x:row>
    <x:row r="3">
      <x:c r="A3" s="22" t="str">
        <x:v>RPL_CUT_MALL</x:v>
      </x:c>
      <x:c r="B3" s="22" t="str">
        <x:v>汎用カットモール</x:v>
      </x:c>
      <x:c r="C3" s="22" t="str">
        <x:v>壁工事あり</x:v>
      </x:c>
      <x:c r="D3" s="22" t="str">
        <x:v>既設枠撤去</x:v>
      </x:c>
      <x:c r="E3" s="22" t="str">
        <x:v>新設サッシ正本参照</x:v>
      </x:c>
      <x:c r="F3" s="22" t="str">
        <x:v>COMPLETE</x:v>
      </x:c>
      <x:c r="G3" s="22" t="str">
        <x:v>CM-EV-002</x:v>
      </x:c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24" hidden="0" customWidth="1"/>
    <x:col min="4" max="4" width="70" hidden="0" customWidth="1"/>
    <x:col min="5" max="5" width="18" hidden="0" customWidth="1"/>
    <x:col min="6" max="6" width="25" hidden="0" customWidth="1"/>
  </x:cols>
  <x:sheetData>
    <x:row r="1">
      <x:c r="A1" s="4" t="str">
        <x:v>02A_商品構造｜RPL_CUT_MALL</x:v>
      </x:c>
      <x:c r="B1" s="4"/>
      <x:c r="C1" s="4"/>
      <x:c r="D1" s="4"/>
      <x:c r="E1" s="4"/>
      <x:c r="F1" s="4"/>
    </x:row>
    <x:row r="2">
      <x:c r="A2" s="17" t="str">
        <x:v>rule_id</x:v>
      </x:c>
      <x:c r="B2" s="17" t="str">
        <x:v>component</x:v>
      </x:c>
      <x:c r="C2" s="17" t="str">
        <x:v>role</x:v>
      </x:c>
      <x:c r="D2" s="17" t="str">
        <x:v>rule</x:v>
      </x:c>
      <x:c r="E2" s="17" t="str">
        <x:v>status</x:v>
      </x:c>
      <x:c r="F2" s="17" t="str">
        <x:v>evidence</x:v>
      </x:c>
    </x:row>
    <x:row r="3">
      <x:c r="A3" s="22" t="str">
        <x:v>CM-STRUCT-01</x:v>
      </x:c>
      <x:c r="B3" s="22" t="str">
        <x:v>外壁切断</x:v>
      </x:c>
      <x:c r="C3" s="22" t="str">
        <x:v>SYSTEM_REQUIRED</x:v>
      </x:c>
      <x:c r="D3" s="22" t="str">
        <x:v>外壁を切断し既設サッシ枠を撤去</x:v>
      </x:c>
      <x:c r="E3" s="22" t="str">
        <x:v>COMPLETE</x:v>
      </x:c>
      <x:c r="F3" s="22" t="str">
        <x:v>CM-EV-002</x:v>
      </x:c>
    </x:row>
    <x:row r="4">
      <x:c r="A4" s="22" t="str">
        <x:v>CM-STRUCT-02</x:v>
      </x:c>
      <x:c r="B4" s="22" t="str">
        <x:v>新設サッシ</x:v>
      </x:c>
      <x:c r="C4" s="22" t="str">
        <x:v>REFERENCE</x:v>
      </x:c>
      <x:c r="D4" s="22" t="str">
        <x:v>4シリーズ正本</x:v>
      </x:c>
      <x:c r="E4" s="22" t="str">
        <x:v>COMPLETE</x:v>
      </x:c>
      <x:c r="F4" s="22" t="str">
        <x:v>CM-EV-002～006</x:v>
      </x:c>
    </x:row>
    <x:row r="5">
      <x:c r="A5" s="22" t="str">
        <x:v>CM-STRUCT-03</x:v>
      </x:c>
      <x:c r="B5" s="22" t="str">
        <x:v>カットモール</x:v>
      </x:c>
      <x:c r="C5" s="22" t="str">
        <x:v>SYSTEM_REQUIRED</x:v>
      </x:c>
      <x:c r="D5" s="22" t="str">
        <x:v>外周仕上げ</x:v>
      </x:c>
      <x:c r="E5" s="22" t="str">
        <x:v>COMPLETE</x:v>
      </x:c>
      <x:c r="F5" s="22" t="str">
        <x:v>CM-EV-002,007</x:v>
      </x:c>
    </x:row>
    <x:row r="6">
      <x:c r="A6" s="22" t="str">
        <x:v>CM-STRUCT-04</x:v>
      </x:c>
      <x:c r="B6" s="22" t="str">
        <x:v>一次止水</x:v>
      </x:c>
      <x:c r="C6" s="22" t="str">
        <x:v>AUTO_RESOLVED</x:v>
      </x:c>
      <x:c r="D6" s="22" t="str">
        <x:v>乾式/シーリングを納まり別解決</x:v>
      </x:c>
      <x:c r="E6" s="22" t="str">
        <x:v>COMPLETE</x:v>
      </x:c>
      <x:c r="F6" s="22" t="str">
        <x:v>CM-EV-007,008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worksheet xmlns="http://schemas.openxmlformats.org/spreadsheetml/2006/main">
  <sheetFormatPr defaultRowHeight="15"/>
  <cols>
    <col min="1" max="1" width="18" hidden="0" customWidth="1"/>
    <col min="2" max="2" width="22" hidden="0" customWidth="1"/>
    <col min="3" max="3" width="28" hidden="0" customWidth="1"/>
    <col min="4" max="4" width="46" hidden="0" customWidth="1"/>
    <col min="5" max="5" width="58" hidden="0" customWidth="1"/>
    <col min="6" max="6" width="16" hidden="0" customWidth="1"/>
    <col min="7" max="7" width="28" hidden="0" customWidth="1"/>
    <col min="8" max="8" width="18" hidden="0" customWidth="1"/>
    <col min="9" max="9" width="22" hidden="0" customWidth="1"/>
  </cols>
  <sheetData>
    <row r="1">
      <c r="A1" s="4" t="str">
        <v>02B_参照商品｜Single Source of Truth</v>
      </c>
      <c r="B1" s="4"/>
      <c r="C1" s="4"/>
      <c r="D1" s="4"/>
      <c r="E1" s="4"/>
      <c r="F1" s="4"/>
      <c r="G1" s="4"/>
      <c r="H1" s="4"/>
      <c r="I1" s="4"/>
    </row>
    <row r="2">
      <c r="A2" s="17" t="str">
        <v>reference_id</v>
      </c>
      <c r="B2" s="17" t="str">
        <v>series</v>
      </c>
      <c r="C2" s="17" t="str">
        <v>referenced_series_id</v>
      </c>
      <c r="D2" s="17" t="str">
        <v>referenced_master_id</v>
      </c>
      <c r="E2" s="17" t="str">
        <v>referenced_master_title</v>
      </c>
      <c r="F2" s="17" t="str">
        <v>version</v>
      </c>
      <c r="G2" s="17" t="str">
        <v>role</v>
      </c>
      <c r="H2" s="17" t="str">
        <v>status</v>
      </c>
      <c r="I2" s="17" t="str">
        <v>evidence</v>
      </c>
    </row>
    <row r="3">
      <c r="A3" s="22" t="str">
        <v>CM-REF-01</v>
      </c>
      <c r="B3" s="22" t="str">
        <v>TW</v>
      </c>
      <c r="C3" s="22" t="str">
        <v>SER-LIX-TW</v>
      </c>
      <c r="D3" s="22" t="inlineStr">
        <is>
          <t>10-ygy_wcdXN2u9brqU1AhucboJv5N5qk</t>
        </is>
      </c>
      <c r="E3" s="22" t="inlineStr">
        <is>
          <t>integrated-v0.5 Current Authoring（固定SHA別記）</t>
        </is>
      </c>
      <c r="F3" s="22" t="inlineStr">
        <is>
          <t>integrated-v0.5</t>
        </is>
      </c>
      <c r="G3" s="22" t="str">
        <v>SINGLE_SOURCE_OF_TRUTH</v>
      </c>
      <c r="H3" s="22" t="str">
        <v>COMPLETE</v>
      </c>
      <c r="I3" s="22" t="inlineStr">
        <is>
          <t>CM-EV-003;REF-TW-CURRENT-20261009-V4</t>
        </is>
      </c>
    </row>
    <row r="4">
      <c r="A4" s="22" t="str">
        <v>CM-REF-02</v>
      </c>
      <c r="B4" s="22" t="str">
        <v>サーモスⅡ-H</v>
      </c>
      <c r="C4" s="22" t="str">
        <v>SER-LIX-SAMOS2H</v>
      </c>
      <c r="D4" s="22" t="inlineStr">
        <is>
          <t>1_p-xJ9Mv7FecoR8Me0E43f3LEEkpVQSP</t>
        </is>
      </c>
      <c r="E4" s="22" t="inlineStr">
        <is>
          <t>v0.9-R4 Current Authoring（固定SHA別記）</t>
        </is>
      </c>
      <c r="F4" s="22" t="inlineStr">
        <is>
          <t>v0.9-R4</t>
        </is>
      </c>
      <c r="G4" s="22" t="str">
        <v>SINGLE_SOURCE_OF_TRUTH</v>
      </c>
      <c r="H4" s="22" t="str">
        <v>COMPLETE</v>
      </c>
      <c r="I4" s="22" t="inlineStr">
        <is>
          <t>CM-EV-004;REF-S2-CURRENT-20261009-V4</t>
        </is>
      </c>
    </row>
    <row r="5">
      <c r="A5" s="22" t="str">
        <v>CM-REF-03</v>
      </c>
      <c r="B5" s="22" t="str">
        <v>サーモスL</v>
      </c>
      <c r="C5" s="22" t="str">
        <v>SER-LIX-SAMOSL</v>
      </c>
      <c r="D5" s="22" t="inlineStr">
        <is>
          <t>19sjSAPwyd30fF5akazldGs0wkhOGZF9v</t>
        </is>
      </c>
      <c r="E5" s="22" t="inlineStr">
        <is>
          <t>v0.7-R3 Current Authoring（固定SHA別記）</t>
        </is>
      </c>
      <c r="F5" s="22" t="inlineStr">
        <is>
          <t>v0.7-R3</t>
        </is>
      </c>
      <c r="G5" s="22" t="str">
        <v>SINGLE_SOURCE_OF_TRUTH</v>
      </c>
      <c r="H5" s="22" t="str">
        <v>COMPLETE</v>
      </c>
      <c r="I5" s="22" t="inlineStr">
        <is>
          <t>CM-EV-005;REF-SL-CURRENT-20261009-V4</t>
        </is>
      </c>
    </row>
    <row r="6">
      <c r="A6" s="22" t="str">
        <v>CM-REF-04</v>
      </c>
      <c r="B6" s="22" t="str">
        <v>サーモスA</v>
      </c>
      <c r="C6" s="22" t="str">
        <v>SER-LIX-SAMOSA</v>
      </c>
      <c r="D6" s="22" t="str">
        <v>1cDEFzi0g1DzM5YoeGvZtHuXionD7tmFD</v>
      </c>
      <c r="E6" s="22" t="inlineStr">
        <is>
          <t>v0.7 Current Authoring（固定SHA別記）</t>
        </is>
      </c>
      <c r="F6" s="22" t="str">
        <v>v0.7</v>
      </c>
      <c r="G6" s="22" t="str">
        <v>SINGLE_SOURCE_OF_TRUTH</v>
      </c>
      <c r="H6" s="22" t="str">
        <v>COMPLETE</v>
      </c>
      <c r="I6" s="22" t="inlineStr">
        <is>
          <t>CM-EV-006;REF-A-CURRENT-20261009-V4</t>
        </is>
      </c>
    </row>
  </sheetData>
  <mergeCells>
    <mergeCell ref="A1:I1"/>
  </mergeCells>
  <pageMargins left="0.7" right="0.7" top="0.75" bottom="0.75" header="0.3" footer="0.3"/>
</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24" hidden="0" customWidth="1"/>
    <x:col min="4" max="4" width="60" hidden="0" customWidth="1"/>
    <x:col min="5" max="5" width="18" hidden="0" customWidth="1"/>
    <x:col min="6" max="6" width="18" hidden="0" customWidth="1"/>
    <x:col min="7" max="7" width="24" hidden="0" customWidth="1"/>
  </x:cols>
  <x:sheetData>
    <x:row r="1">
      <x:c r="A1" s="4" t="str">
        <x:v>02C_供給方式</x:v>
      </x:c>
      <x:c r="B1" s="4"/>
      <x:c r="C1" s="4"/>
      <x:c r="D1" s="4"/>
      <x:c r="E1" s="4"/>
      <x:c r="F1" s="4"/>
      <x:c r="G1" s="4"/>
    </x:row>
    <x:row r="2">
      <x:c r="A2" s="17" t="str">
        <x:v>rule_id</x:v>
      </x:c>
      <x:c r="B2" s="17" t="str">
        <x:v>scope</x:v>
      </x:c>
      <x:c r="C2" s="17" t="str">
        <x:v>item</x:v>
      </x:c>
      <x:c r="D2" s="17" t="str">
        <x:v>supply_rule</x:v>
      </x:c>
      <x:c r="E2" s="17" t="str">
        <x:v>source</x:v>
      </x:c>
      <x:c r="F2" s="17" t="str">
        <x:v>status</x:v>
      </x:c>
      <x:c r="G2" s="17" t="str">
        <x:v>evidence</x:v>
      </x:c>
    </x:row>
    <x:row r="3">
      <x:c r="A3" s="22" t="str">
        <x:v>CM-SUPPLY-01</x:v>
      </x:c>
      <x:c r="B3" s="22" t="str">
        <x:v>ALL</x:v>
      </x:c>
      <x:c r="C3" s="22" t="str">
        <x:v>new_sash</x:v>
      </x:c>
      <x:c r="D3" s="22" t="str">
        <x:v>別途新設サッシを正本から手配</x:v>
      </x:c>
      <x:c r="E3" s="22" t="str">
        <x:v>REFERENCE</x:v>
      </x:c>
      <x:c r="F3" s="22" t="str">
        <x:v>COMPLETE</x:v>
      </x:c>
      <x:c r="G3" s="22" t="str">
        <x:v>CM-EV-002</x:v>
      </x:c>
    </x:row>
    <x:row r="4">
      <x:c r="A4" s="22" t="str">
        <x:v>CM-SUPPLY-02</x:v>
      </x:c>
      <x:c r="B4" s="22" t="str">
        <x:v>ALL</x:v>
      </x:c>
      <x:c r="C4" s="22" t="str">
        <x:v>cut_mall</x:v>
      </x:c>
      <x:c r="D4" s="22" t="str">
        <x:v>リプラス汎用カットモール施工部材</x:v>
      </x:c>
      <x:c r="E4" s="22" t="str">
        <x:v>LOCAL</x:v>
      </x:c>
      <x:c r="F4" s="22" t="str">
        <x:v>COMPLETE</x:v>
      </x:c>
      <x:c r="G4" s="22" t="str">
        <x:v>CM-EV-002</x:v>
      </x:c>
    </x:row>
  </x:sheetData>
  <x:mergeCells>
    <x:mergeCell ref="A1:G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28" hidden="0" customWidth="1"/>
    <x:col min="5" max="5" width="14" hidden="0" customWidth="1"/>
    <x:col min="6" max="6" width="18" hidden="0" customWidth="1"/>
    <x:col min="7" max="7" width="16" hidden="0" customWidth="1"/>
    <x:col min="8" max="8" width="18" hidden="0" customWidth="1"/>
    <x:col min="9" max="9" width="24" hidden="0" customWidth="1"/>
  </x:cols>
  <x:sheetData>
    <x:row r="1">
      <x:c r="A1" s="4" t="str">
        <x:v>02D_対応シリーズ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17" t="str">
        <x:v>rule_id</x:v>
      </x:c>
      <x:c r="B2" s="17" t="str">
        <x:v>system</x:v>
      </x:c>
      <x:c r="C2" s="17" t="str">
        <x:v>series_display</x:v>
      </x:c>
      <x:c r="D2" s="17" t="str">
        <x:v>referenced_series_id</x:v>
      </x:c>
      <x:c r="E2" s="17" t="str">
        <x:v>supported</x:v>
      </x:c>
      <x:c r="F2" s="17" t="str">
        <x:v>reference_ready</x:v>
      </x:c>
      <x:c r="G2" s="17" t="str">
        <x:v>ui_action</x:v>
      </x:c>
      <x:c r="H2" s="17" t="str">
        <x:v>status</x:v>
      </x:c>
      <x:c r="I2" s="17" t="str">
        <x:v>evidence</x:v>
      </x:c>
    </x:row>
    <x:row r="3">
      <x:c r="A3" s="22" t="str">
        <x:v>CM-SER-01</x:v>
      </x:c>
      <x:c r="B3" s="22" t="str">
        <x:v>RPL_CUT_MALL</x:v>
      </x:c>
      <x:c r="C3" s="22" t="str">
        <x:v>TW</x:v>
      </x:c>
      <x:c r="D3" s="22" t="str">
        <x:v>SER-LIX-TW</x:v>
      </x:c>
      <x:c r="E3" s="26" t="b">
        <x:v>1</x:v>
      </x:c>
      <x:c r="F3" s="26" t="b">
        <x:v>1</x:v>
      </x:c>
      <x:c r="G3" s="22" t="str">
        <x:v>SHOW</x:v>
      </x:c>
      <x:c r="H3" s="22" t="str">
        <x:v>COMPLETE</x:v>
      </x:c>
      <x:c r="I3" s="22" t="str">
        <x:v>CM-EV-003</x:v>
      </x:c>
    </x:row>
    <x:row r="4">
      <x:c r="A4" s="22" t="str">
        <x:v>CM-SER-02</x:v>
      </x:c>
      <x:c r="B4" s="22" t="str">
        <x:v>RPL_CUT_MALL</x:v>
      </x:c>
      <x:c r="C4" s="22" t="str">
        <x:v>サーモスⅡ-H</x:v>
      </x:c>
      <x:c r="D4" s="22" t="str">
        <x:v>SER-LIX-SAMOS2H</x:v>
      </x:c>
      <x:c r="E4" s="26" t="b">
        <x:v>1</x:v>
      </x:c>
      <x:c r="F4" s="26" t="b">
        <x:v>1</x:v>
      </x:c>
      <x:c r="G4" s="22" t="str">
        <x:v>SHOW</x:v>
      </x:c>
      <x:c r="H4" s="22" t="str">
        <x:v>COMPLETE</x:v>
      </x:c>
      <x:c r="I4" s="22" t="str">
        <x:v>CM-EV-004</x:v>
      </x:c>
    </x:row>
    <x:row r="5">
      <x:c r="A5" s="22" t="str">
        <x:v>CM-SER-03</x:v>
      </x:c>
      <x:c r="B5" s="22" t="str">
        <x:v>RPL_CUT_MALL</x:v>
      </x:c>
      <x:c r="C5" s="22" t="str">
        <x:v>サーモスL</x:v>
      </x:c>
      <x:c r="D5" s="22" t="str">
        <x:v>SER-LIX-SAMOSL</x:v>
      </x:c>
      <x:c r="E5" s="26" t="b">
        <x:v>1</x:v>
      </x:c>
      <x:c r="F5" s="26" t="b">
        <x:v>1</x:v>
      </x:c>
      <x:c r="G5" s="22" t="str">
        <x:v>SHOW</x:v>
      </x:c>
      <x:c r="H5" s="22" t="str">
        <x:v>COMPLETE</x:v>
      </x:c>
      <x:c r="I5" s="22" t="str">
        <x:v>CM-EV-005</x:v>
      </x:c>
    </x:row>
    <x:row r="6">
      <x:c r="A6" s="22" t="str">
        <x:v>CM-SER-04</x:v>
      </x:c>
      <x:c r="B6" s="22" t="str">
        <x:v>RPL_CUT_MALL</x:v>
      </x:c>
      <x:c r="C6" s="22" t="str">
        <x:v>サーモスA</x:v>
      </x:c>
      <x:c r="D6" s="22" t="str">
        <x:v>SER-LIX-SAMOSA</x:v>
      </x:c>
      <x:c r="E6" s="26" t="b">
        <x:v>1</x:v>
      </x:c>
      <x:c r="F6" s="26" t="b">
        <x:v>1</x:v>
      </x:c>
      <x:c r="G6" s="22" t="str">
        <x:v>SHOW</x:v>
      </x:c>
      <x:c r="H6" s="22" t="str">
        <x:v>COMPLETE</x:v>
      </x:c>
      <x:c r="I6" s="22" t="str">
        <x:v>CM-EV-006</x:v>
      </x:c>
    </x:row>
  </x:sheetData>
  <x:mergeCells>
    <x:mergeCell ref="A1:I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36" hidden="0" customWidth="1"/>
    <x:col min="4" max="4" width="44" hidden="0" customWidth="1"/>
    <x:col min="5" max="5" width="20" hidden="0" customWidth="1"/>
    <x:col min="6" max="6" width="16" hidden="0" customWidth="1"/>
    <x:col min="7" max="7" width="18" hidden="0" customWidth="1"/>
    <x:col min="8" max="8" width="24" hidden="0" customWidth="1"/>
  </x:cols>
  <x:sheetData>
    <x:row r="1">
      <x:c r="A1" s="4" t="str">
        <x:v>03_対応窓種｜公式対応×正本有効ID</x:v>
      </x:c>
      <x:c r="B1" s="4"/>
      <x:c r="C1" s="4"/>
      <x:c r="D1" s="4"/>
      <x:c r="E1" s="4"/>
      <x:c r="F1" s="4"/>
      <x:c r="G1" s="4"/>
      <x:c r="H1" s="4"/>
    </x:row>
    <x:row r="2">
      <x:c r="A2" s="10" t="str">
        <x:v>全正本窓種を無条件に出さず、RPL_CUT_MALL公式対応範囲との交差だけをSHOW。</x:v>
      </x:c>
      <x:c r="B2" s="10"/>
      <x:c r="C2" s="10"/>
      <x:c r="D2" s="10"/>
      <x:c r="E2" s="10"/>
      <x:c r="F2" s="10"/>
      <x:c r="G2" s="10"/>
      <x:c r="H2" s="10"/>
    </x:row>
    <x:row r="4">
      <x:c r="A4" s="17" t="str">
        <x:v>rule_id</x:v>
      </x:c>
      <x:c r="B4" s="17" t="str">
        <x:v>referenced_series_id</x:v>
      </x:c>
      <x:c r="C4" s="17" t="str">
        <x:v>referenced_window_id</x:v>
      </x:c>
      <x:c r="D4" s="17" t="str">
        <x:v>display</x:v>
      </x:c>
      <x:c r="E4" s="17" t="str">
        <x:v>family</x:v>
      </x:c>
      <x:c r="F4" s="17" t="str">
        <x:v>ui_action</x:v>
      </x:c>
      <x:c r="G4" s="17" t="str">
        <x:v>status</x:v>
      </x:c>
      <x:c r="H4" s="17" t="str">
        <x:v>evidence</x:v>
      </x:c>
    </x:row>
    <x:row r="5">
      <x:c r="A5" s="22" t="str">
        <x:v>CM-W-TW-01</x:v>
      </x:c>
      <x:c r="B5" s="22" t="str">
        <x:v>SER-LIX-TW</x:v>
      </x:c>
      <x:c r="C5" s="22" t="str">
        <x:v>SWT-LIX-TW-UNIT-HIKI</x:v>
      </x:c>
      <x:c r="D5" s="22" t="str">
        <x:v>単体引違い窓</x:v>
      </x:c>
      <x:c r="E5" s="22" t="str">
        <x:v>STANDARD</x:v>
      </x:c>
      <x:c r="F5" s="22" t="str">
        <x:v>SHOW</x:v>
      </x:c>
      <x:c r="G5" s="22" t="str">
        <x:v>COMPLETE</x:v>
      </x:c>
      <x:c r="H5" s="22" t="str">
        <x:v>CM-EV-002,003</x:v>
      </x:c>
    </x:row>
    <x:row r="6">
      <x:c r="A6" s="22" t="str">
        <x:v>CM-W-TW-02</x:v>
      </x:c>
      <x:c r="B6" s="22" t="str">
        <x:v>SER-LIX-TW</x:v>
      </x:c>
      <x:c r="C6" s="22" t="str">
        <x:v>SWT-LIX-TW-SHUT-HIKI</x:v>
      </x:c>
      <x:c r="D6" s="22" t="str">
        <x:v>シャッター付引違い窓</x:v>
      </x:c>
      <x:c r="E6" s="22" t="str">
        <x:v>SHUTTER</x:v>
      </x:c>
      <x:c r="F6" s="22" t="str">
        <x:v>SHOW</x:v>
      </x:c>
      <x:c r="G6" s="22" t="str">
        <x:v>COMPLETE</x:v>
      </x:c>
      <x:c r="H6" s="22" t="str">
        <x:v>CM-EV-002,003</x:v>
      </x:c>
    </x:row>
    <x:row r="7">
      <x:c r="A7" s="22" t="str">
        <x:v>CM-W-TW-03</x:v>
      </x:c>
      <x:c r="B7" s="22" t="str">
        <x:v>SER-LIX-TW</x:v>
      </x:c>
      <x:c r="C7" s="22" t="str">
        <x:v>SWT-LIX-TW-TATE-OP-T</x:v>
      </x:c>
      <x:c r="D7" s="22" t="str">
        <x:v>縦すべり出し窓 T（オペレーター）</x:v>
      </x:c>
      <x:c r="E7" s="22" t="str">
        <x:v>DECORATIVE</x:v>
      </x:c>
      <x:c r="F7" s="22" t="str">
        <x:v>SHOW</x:v>
      </x:c>
      <x:c r="G7" s="22" t="str">
        <x:v>COMPLETE</x:v>
      </x:c>
      <x:c r="H7" s="22" t="str">
        <x:v>CM-EV-002,003</x:v>
      </x:c>
    </x:row>
    <x:row r="8">
      <x:c r="A8" s="22" t="str">
        <x:v>CM-W-TW-04</x:v>
      </x:c>
      <x:c r="B8" s="22" t="str">
        <x:v>SER-LIX-TW</x:v>
      </x:c>
      <x:c r="C8" s="22" t="str">
        <x:v>SWT-LIX-TW-TATE-GREMON-T</x:v>
      </x:c>
      <x:c r="D8" s="22" t="str">
        <x:v>縦すべり出し窓 T（グレモン）</x:v>
      </x:c>
      <x:c r="E8" s="22" t="str">
        <x:v>DECORATIVE</x:v>
      </x:c>
      <x:c r="F8" s="22" t="str">
        <x:v>SHOW</x:v>
      </x:c>
      <x:c r="G8" s="22" t="str">
        <x:v>COMPLETE</x:v>
      </x:c>
      <x:c r="H8" s="22" t="str">
        <x:v>CM-EV-002,003</x:v>
      </x:c>
    </x:row>
    <x:row r="9">
      <x:c r="A9" s="22" t="str">
        <x:v>CM-W-TW-05</x:v>
      </x:c>
      <x:c r="B9" s="22" t="str">
        <x:v>SER-LIX-TW</x:v>
      </x:c>
      <x:c r="C9" s="22" t="str">
        <x:v>SWT-LIX-TW-TATE-GREMON-TF</x:v>
      </x:c>
      <x:c r="D9" s="22" t="str">
        <x:v>縦すべり出し窓 TF（グレモン）</x:v>
      </x:c>
      <x:c r="E9" s="22" t="str">
        <x:v>DECORATIVE</x:v>
      </x:c>
      <x:c r="F9" s="22" t="str">
        <x:v>SHOW</x:v>
      </x:c>
      <x:c r="G9" s="22" t="str">
        <x:v>COMPLETE</x:v>
      </x:c>
      <x:c r="H9" s="22" t="str">
        <x:v>CM-EV-002,003</x:v>
      </x:c>
    </x:row>
    <x:row r="10">
      <x:c r="A10" s="22" t="str">
        <x:v>CM-W-TW-06</x:v>
      </x:c>
      <x:c r="B10" s="22" t="str">
        <x:v>SER-LIX-TW</x:v>
      </x:c>
      <x:c r="C10" s="22" t="str">
        <x:v>SWT-LIX-TW-TATE-GREMON-TFT</x:v>
      </x:c>
      <x:c r="D10" s="22" t="str">
        <x:v>縦すべり出し窓 TFT（グレモン）</x:v>
      </x:c>
      <x:c r="E10" s="22" t="str">
        <x:v>DECORATIVE</x:v>
      </x:c>
      <x:c r="F10" s="22" t="str">
        <x:v>SHOW</x:v>
      </x:c>
      <x:c r="G10" s="22" t="str">
        <x:v>COMPLETE</x:v>
      </x:c>
      <x:c r="H10" s="22" t="str">
        <x:v>CM-EV-002,003</x:v>
      </x:c>
    </x:row>
    <x:row r="11">
      <x:c r="A11" s="22" t="str">
        <x:v>CM-W-TW-07</x:v>
      </x:c>
      <x:c r="B11" s="22" t="str">
        <x:v>SER-LIX-TW</x:v>
      </x:c>
      <x:c r="C11" s="22" t="str">
        <x:v>SWT-LIX-TW-YOKO-OP</x:v>
      </x:c>
      <x:c r="D11" s="22" t="str">
        <x:v>横すべり出し窓（オペレーター）</x:v>
      </x:c>
      <x:c r="E11" s="22" t="str">
        <x:v>DECORATIVE</x:v>
      </x:c>
      <x:c r="F11" s="22" t="str">
        <x:v>SHOW</x:v>
      </x:c>
      <x:c r="G11" s="22" t="str">
        <x:v>COMPLETE</x:v>
      </x:c>
      <x:c r="H11" s="22" t="str">
        <x:v>CM-EV-002,003</x:v>
      </x:c>
    </x:row>
    <x:row r="12">
      <x:c r="A12" s="22" t="str">
        <x:v>CM-W-TW-08</x:v>
      </x:c>
      <x:c r="B12" s="22" t="str">
        <x:v>SER-LIX-TW</x:v>
      </x:c>
      <x:c r="C12" s="22" t="str">
        <x:v>SWT-LIX-TW-YOKO-GREMON</x:v>
      </x:c>
      <x:c r="D12" s="22" t="str">
        <x:v>横すべり出し窓（グレモン）</x:v>
      </x:c>
      <x:c r="E12" s="22" t="str">
        <x:v>DECORATIVE</x:v>
      </x:c>
      <x:c r="F12" s="22" t="str">
        <x:v>SHOW</x:v>
      </x:c>
      <x:c r="G12" s="22" t="str">
        <x:v>COMPLETE</x:v>
      </x:c>
      <x:c r="H12" s="22" t="str">
        <x:v>CM-EV-002,003</x:v>
      </x:c>
    </x:row>
    <x:row r="13">
      <x:c r="A13" s="22" t="str">
        <x:v>CM-W-TW-09</x:v>
      </x:c>
      <x:c r="B13" s="22" t="str">
        <x:v>SER-LIX-TW</x:v>
      </x:c>
      <x:c r="C13" s="22" t="str">
        <x:v>SWT-LIX-TW-AGE-SAGE</x:v>
      </x:c>
      <x:c r="D13" s="22" t="str">
        <x:v>上げ下げ窓</x:v>
      </x:c>
      <x:c r="E13" s="22" t="str">
        <x:v>DECORATIVE</x:v>
      </x:c>
      <x:c r="F13" s="22" t="str">
        <x:v>SHOW</x:v>
      </x:c>
      <x:c r="G13" s="22" t="str">
        <x:v>COMPLETE</x:v>
      </x:c>
      <x:c r="H13" s="22" t="str">
        <x:v>CM-EV-002,003</x:v>
      </x:c>
    </x:row>
    <x:row r="14">
      <x:c r="A14" s="22" t="str">
        <x:v>CM-W-TW-10</x:v>
      </x:c>
      <x:c r="B14" s="22" t="str">
        <x:v>SER-LIX-TW</x:v>
      </x:c>
      <x:c r="C14" s="22" t="str">
        <x:v>SWT-LIX-TW-FIX-IN-MADO</x:v>
      </x:c>
      <x:c r="D14" s="22" t="str">
        <x:v>FIX窓（内押縁タイプ）マド</x:v>
      </x:c>
      <x:c r="E14" s="22" t="str">
        <x:v>DECORATIVE</x:v>
      </x:c>
      <x:c r="F14" s="22" t="str">
        <x:v>SHOW</x:v>
      </x:c>
      <x:c r="G14" s="22" t="str">
        <x:v>COMPLETE</x:v>
      </x:c>
      <x:c r="H14" s="22" t="str">
        <x:v>CM-EV-002,003</x:v>
      </x:c>
    </x:row>
    <x:row r="15">
      <x:c r="A15" s="22" t="str">
        <x:v>CM-W-S2H-01</x:v>
      </x:c>
      <x:c r="B15" s="22" t="str">
        <x:v>SER-LIX-SAMOS2H</x:v>
      </x:c>
      <x:c r="C15" s="22" t="str">
        <x:v>WT-S2H-HIKICHIGAI</x:v>
      </x:c>
      <x:c r="D15" s="22" t="str">
        <x:v>単体引違い窓</x:v>
      </x:c>
      <x:c r="E15" s="22" t="str">
        <x:v>STANDARD</x:v>
      </x:c>
      <x:c r="F15" s="22" t="str">
        <x:v>SHOW</x:v>
      </x:c>
      <x:c r="G15" s="22" t="str">
        <x:v>COMPLETE</x:v>
      </x:c>
      <x:c r="H15" s="22" t="str">
        <x:v>CM-EV-002,004</x:v>
      </x:c>
    </x:row>
    <x:row r="16">
      <x:c r="A16" s="22" t="str">
        <x:v>CM-W-S2H-02</x:v>
      </x:c>
      <x:c r="B16" s="22" t="str">
        <x:v>SER-LIX-SAMOS2H</x:v>
      </x:c>
      <x:c r="C16" s="22" t="str">
        <x:v>WT-S2H-SHUTTER-HIKI</x:v>
      </x:c>
      <x:c r="D16" s="22" t="str">
        <x:v>シャッター付引違い窓</x:v>
      </x:c>
      <x:c r="E16" s="22" t="str">
        <x:v>SHUTTER</x:v>
      </x:c>
      <x:c r="F16" s="22" t="str">
        <x:v>SHOW</x:v>
      </x:c>
      <x:c r="G16" s="22" t="str">
        <x:v>COMPLETE</x:v>
      </x:c>
      <x:c r="H16" s="22" t="str">
        <x:v>CM-EV-002,004</x:v>
      </x:c>
    </x:row>
    <x:row r="17">
      <x:c r="A17" s="22" t="str">
        <x:v>CM-W-S2H-03</x:v>
      </x:c>
      <x:c r="B17" s="22" t="str">
        <x:v>SER-LIX-SAMOS2H</x:v>
      </x:c>
      <x:c r="C17" s="22" t="str">
        <x:v>WT-S2H-AMADO-HIKI</x:v>
      </x:c>
      <x:c r="D17" s="22" t="str">
        <x:v>雨戸付引違い窓</x:v>
      </x:c>
      <x:c r="E17" s="22" t="str">
        <x:v>AMADO</x:v>
      </x:c>
      <x:c r="F17" s="22" t="str">
        <x:v>SHOW</x:v>
      </x:c>
      <x:c r="G17" s="22" t="str">
        <x:v>COMPLETE</x:v>
      </x:c>
      <x:c r="H17" s="22" t="str">
        <x:v>CM-EV-002,004</x:v>
      </x:c>
    </x:row>
    <x:row r="18">
      <x:c r="A18" s="22" t="str">
        <x:v>CM-W-S2H-04</x:v>
      </x:c>
      <x:c r="B18" s="22" t="str">
        <x:v>SER-LIX-SAMOS2H</x:v>
      </x:c>
      <x:c r="C18" s="22" t="str">
        <x:v>WT-S2H-TATE-SUBERI</x:v>
      </x:c>
      <x:c r="D18" s="22" t="str">
        <x:v>縦すべり出し窓</x:v>
      </x:c>
      <x:c r="E18" s="22" t="str">
        <x:v>DECORATIVE</x:v>
      </x:c>
      <x:c r="F18" s="22" t="str">
        <x:v>SHOW</x:v>
      </x:c>
      <x:c r="G18" s="22" t="str">
        <x:v>COMPLETE</x:v>
      </x:c>
      <x:c r="H18" s="22" t="str">
        <x:v>CM-EV-002,004</x:v>
      </x:c>
    </x:row>
    <x:row r="19">
      <x:c r="A19" s="22" t="str">
        <x:v>CM-W-S2H-05</x:v>
      </x:c>
      <x:c r="B19" s="22" t="str">
        <x:v>SER-LIX-SAMOS2H</x:v>
      </x:c>
      <x:c r="C19" s="22" t="str">
        <x:v>WT-S2H-YOKO-SUBERI</x:v>
      </x:c>
      <x:c r="D19" s="22" t="str">
        <x:v>横すべり出し窓</x:v>
      </x:c>
      <x:c r="E19" s="22" t="str">
        <x:v>DECORATIVE</x:v>
      </x:c>
      <x:c r="F19" s="22" t="str">
        <x:v>SHOW</x:v>
      </x:c>
      <x:c r="G19" s="22" t="str">
        <x:v>COMPLETE</x:v>
      </x:c>
      <x:c r="H19" s="22" t="str">
        <x:v>CM-EV-002,004</x:v>
      </x:c>
    </x:row>
    <x:row r="20">
      <x:c r="A20" s="22" t="str">
        <x:v>CM-W-S2H-06</x:v>
      </x:c>
      <x:c r="B20" s="22" t="str">
        <x:v>SER-LIX-SAMOS2H</x:v>
      </x:c>
      <x:c r="C20" s="22" t="str">
        <x:v>WT-S2H-AGE-SAGE-FS</x:v>
      </x:c>
      <x:c r="D20" s="22" t="str">
        <x:v>上げ下げ窓FS</x:v>
      </x:c>
      <x:c r="E20" s="22" t="str">
        <x:v>DECORATIVE</x:v>
      </x:c>
      <x:c r="F20" s="22" t="str">
        <x:v>SHOW</x:v>
      </x:c>
      <x:c r="G20" s="22" t="str">
        <x:v>COMPLETE</x:v>
      </x:c>
      <x:c r="H20" s="22" t="str">
        <x:v>CM-EV-002,004</x:v>
      </x:c>
    </x:row>
    <x:row r="21">
      <x:c r="A21" s="22" t="str">
        <x:v>CM-W-S2H-07</x:v>
      </x:c>
      <x:c r="B21" s="22" t="str">
        <x:v>SER-LIX-SAMOS2H</x:v>
      </x:c>
      <x:c r="C21" s="22" t="str">
        <x:v>WT-S2H-FIX-OUT</x:v>
      </x:c>
      <x:c r="D21" s="22" t="str">
        <x:v>FIX窓（外押縁タイプ）</x:v>
      </x:c>
      <x:c r="E21" s="22" t="str">
        <x:v>DECORATIVE</x:v>
      </x:c>
      <x:c r="F21" s="22" t="str">
        <x:v>SHOW</x:v>
      </x:c>
      <x:c r="G21" s="22" t="str">
        <x:v>COMPLETE</x:v>
      </x:c>
      <x:c r="H21" s="22" t="str">
        <x:v>CM-EV-002,004</x:v>
      </x:c>
    </x:row>
    <x:row r="22">
      <x:c r="A22" s="22" t="str">
        <x:v>CM-W-S2H-08</x:v>
      </x:c>
      <x:c r="B22" s="22" t="str">
        <x:v>SER-LIX-SAMOS2H</x:v>
      </x:c>
      <x:c r="C22" s="22" t="str">
        <x:v>WT-S2H-FIX-IN</x:v>
      </x:c>
      <x:c r="D22" s="22" t="str">
        <x:v>FIX窓（内押縁タイプ）</x:v>
      </x:c>
      <x:c r="E22" s="22" t="str">
        <x:v>DECORATIVE</x:v>
      </x:c>
      <x:c r="F22" s="22" t="str">
        <x:v>SHOW</x:v>
      </x:c>
      <x:c r="G22" s="22" t="str">
        <x:v>COMPLETE</x:v>
      </x:c>
      <x:c r="H22" s="22" t="str">
        <x:v>CM-EV-002,004</x:v>
      </x:c>
    </x:row>
    <x:row r="23">
      <x:c r="A23" s="22" t="str">
        <x:v>CM-W-SL-01</x:v>
      </x:c>
      <x:c r="B23" s="22" t="str">
        <x:v>SER-LIX-SAMOSL</x:v>
      </x:c>
      <x:c r="C23" s="22" t="str">
        <x:v>WT-SL-HIKICHIGAI</x:v>
      </x:c>
      <x:c r="D23" s="22" t="str">
        <x:v>単体引違い窓</x:v>
      </x:c>
      <x:c r="E23" s="22" t="str">
        <x:v>STANDARD</x:v>
      </x:c>
      <x:c r="F23" s="22" t="str">
        <x:v>SHOW</x:v>
      </x:c>
      <x:c r="G23" s="22" t="str">
        <x:v>COMPLETE</x:v>
      </x:c>
      <x:c r="H23" s="22" t="str">
        <x:v>CM-EV-002,005</x:v>
      </x:c>
    </x:row>
    <x:row r="24">
      <x:c r="A24" s="22" t="str">
        <x:v>CM-W-SL-02</x:v>
      </x:c>
      <x:c r="B24" s="22" t="str">
        <x:v>SER-LIX-SAMOSL</x:v>
      </x:c>
      <x:c r="C24" s="22" t="str">
        <x:v>WT-SL-SHUTTER-HIKI</x:v>
      </x:c>
      <x:c r="D24" s="22" t="str">
        <x:v>シャッター付引違い窓</x:v>
      </x:c>
      <x:c r="E24" s="22" t="str">
        <x:v>SHUTTER</x:v>
      </x:c>
      <x:c r="F24" s="22" t="str">
        <x:v>SHOW</x:v>
      </x:c>
      <x:c r="G24" s="22" t="str">
        <x:v>COMPLETE</x:v>
      </x:c>
      <x:c r="H24" s="22" t="str">
        <x:v>CM-EV-002,005</x:v>
      </x:c>
    </x:row>
    <x:row r="25">
      <x:c r="A25" s="22" t="str">
        <x:v>CM-W-SL-03</x:v>
      </x:c>
      <x:c r="B25" s="22" t="str">
        <x:v>SER-LIX-SAMOSL</x:v>
      </x:c>
      <x:c r="C25" s="22" t="str">
        <x:v>WT-SL-AMADO-HIKI</x:v>
      </x:c>
      <x:c r="D25" s="22" t="str">
        <x:v>雨戸付引違い窓</x:v>
      </x:c>
      <x:c r="E25" s="22" t="str">
        <x:v>AMADO</x:v>
      </x:c>
      <x:c r="F25" s="22" t="str">
        <x:v>SHOW</x:v>
      </x:c>
      <x:c r="G25" s="22" t="str">
        <x:v>COMPLETE</x:v>
      </x:c>
      <x:c r="H25" s="22" t="str">
        <x:v>CM-EV-002,005</x:v>
      </x:c>
    </x:row>
    <x:row r="26">
      <x:c r="A26" s="22" t="str">
        <x:v>CM-W-SL-04</x:v>
      </x:c>
      <x:c r="B26" s="22" t="str">
        <x:v>SER-LIX-SAMOSL</x:v>
      </x:c>
      <x:c r="C26" s="22" t="str">
        <x:v>WT-SL-TATE-SUBERI</x:v>
      </x:c>
      <x:c r="D26" s="22" t="str">
        <x:v>縦すべり出し窓</x:v>
      </x:c>
      <x:c r="E26" s="22" t="str">
        <x:v>DECORATIVE</x:v>
      </x:c>
      <x:c r="F26" s="22" t="str">
        <x:v>SHOW</x:v>
      </x:c>
      <x:c r="G26" s="22" t="str">
        <x:v>COMPLETE</x:v>
      </x:c>
      <x:c r="H26" s="22" t="str">
        <x:v>CM-EV-002,005</x:v>
      </x:c>
    </x:row>
    <x:row r="27">
      <x:c r="A27" s="22" t="str">
        <x:v>CM-W-SL-05</x:v>
      </x:c>
      <x:c r="B27" s="22" t="str">
        <x:v>SER-LIX-SAMOSL</x:v>
      </x:c>
      <x:c r="C27" s="22" t="str">
        <x:v>WT-SL-YOKO-SUBERI</x:v>
      </x:c>
      <x:c r="D27" s="22" t="str">
        <x:v>横すべり出し窓</x:v>
      </x:c>
      <x:c r="E27" s="22" t="str">
        <x:v>DECORATIVE</x:v>
      </x:c>
      <x:c r="F27" s="22" t="str">
        <x:v>SHOW</x:v>
      </x:c>
      <x:c r="G27" s="22" t="str">
        <x:v>COMPLETE</x:v>
      </x:c>
      <x:c r="H27" s="22" t="str">
        <x:v>CM-EV-002,005</x:v>
      </x:c>
    </x:row>
    <x:row r="28">
      <x:c r="A28" s="22" t="str">
        <x:v>CM-W-SL-06</x:v>
      </x:c>
      <x:c r="B28" s="22" t="str">
        <x:v>SER-LIX-SAMOSL</x:v>
      </x:c>
      <x:c r="C28" s="22" t="str">
        <x:v>WT-SL-AGE-SAGE-FS</x:v>
      </x:c>
      <x:c r="D28" s="22" t="str">
        <x:v>上げ下げ窓FS</x:v>
      </x:c>
      <x:c r="E28" s="22" t="str">
        <x:v>DECORATIVE</x:v>
      </x:c>
      <x:c r="F28" s="22" t="str">
        <x:v>SHOW</x:v>
      </x:c>
      <x:c r="G28" s="22" t="str">
        <x:v>COMPLETE</x:v>
      </x:c>
      <x:c r="H28" s="22" t="str">
        <x:v>CM-EV-002,005</x:v>
      </x:c>
    </x:row>
    <x:row r="29">
      <x:c r="A29" s="22" t="str">
        <x:v>CM-W-SL-07</x:v>
      </x:c>
      <x:c r="B29" s="22" t="str">
        <x:v>SER-LIX-SAMOSL</x:v>
      </x:c>
      <x:c r="C29" s="22" t="str">
        <x:v>WT-SL-FIX-OUT</x:v>
      </x:c>
      <x:c r="D29" s="22" t="str">
        <x:v>FIX窓（外押縁タイプ）</x:v>
      </x:c>
      <x:c r="E29" s="22" t="str">
        <x:v>DECORATIVE</x:v>
      </x:c>
      <x:c r="F29" s="22" t="str">
        <x:v>SHOW</x:v>
      </x:c>
      <x:c r="G29" s="22" t="str">
        <x:v>COMPLETE</x:v>
      </x:c>
      <x:c r="H29" s="22" t="str">
        <x:v>CM-EV-002,005</x:v>
      </x:c>
    </x:row>
    <x:row r="30">
      <x:c r="A30" s="22" t="str">
        <x:v>CM-W-SL-08</x:v>
      </x:c>
      <x:c r="B30" s="22" t="str">
        <x:v>SER-LIX-SAMOSL</x:v>
      </x:c>
      <x:c r="C30" s="22" t="str">
        <x:v>WT-SL-FIX-IN</x:v>
      </x:c>
      <x:c r="D30" s="22" t="str">
        <x:v>FIX窓（内押縁タイプ）</x:v>
      </x:c>
      <x:c r="E30" s="22" t="str">
        <x:v>DECORATIVE</x:v>
      </x:c>
      <x:c r="F30" s="22" t="str">
        <x:v>SHOW</x:v>
      </x:c>
      <x:c r="G30" s="22" t="str">
        <x:v>COMPLETE</x:v>
      </x:c>
      <x:c r="H30" s="22" t="str">
        <x:v>CM-EV-002,005</x:v>
      </x:c>
    </x:row>
    <x:row r="31">
      <x:c r="A31" s="22" t="str">
        <x:v>CM-W-SA-01</x:v>
      </x:c>
      <x:c r="B31" s="22" t="str">
        <x:v>SER-LIX-SAMOSA</x:v>
      </x:c>
      <x:c r="C31" s="22" t="str">
        <x:v>WT-SA-HIKICHIGAI</x:v>
      </x:c>
      <x:c r="D31" s="22" t="str">
        <x:v>単体引違い窓</x:v>
      </x:c>
      <x:c r="E31" s="22" t="str">
        <x:v>STANDARD</x:v>
      </x:c>
      <x:c r="F31" s="22" t="str">
        <x:v>SHOW</x:v>
      </x:c>
      <x:c r="G31" s="22" t="str">
        <x:v>COMPLETE</x:v>
      </x:c>
      <x:c r="H31" s="22" t="str">
        <x:v>CM-EV-002,006</x:v>
      </x:c>
    </x:row>
    <x:row r="32">
      <x:c r="A32" s="22" t="str">
        <x:v>CM-W-SA-02</x:v>
      </x:c>
      <x:c r="B32" s="22" t="str">
        <x:v>SER-LIX-SAMOSA</x:v>
      </x:c>
      <x:c r="C32" s="22" t="str">
        <x:v>WT-SA-SHUTTER-HIKI</x:v>
      </x:c>
      <x:c r="D32" s="22" t="str">
        <x:v>シャッター付引違い窓</x:v>
      </x:c>
      <x:c r="E32" s="22" t="str">
        <x:v>SHUTTER</x:v>
      </x:c>
      <x:c r="F32" s="22" t="str">
        <x:v>SHOW</x:v>
      </x:c>
      <x:c r="G32" s="22" t="str">
        <x:v>COMPLETE</x:v>
      </x:c>
      <x:c r="H32" s="22" t="str">
        <x:v>CM-EV-002,006</x:v>
      </x:c>
    </x:row>
    <x:row r="33">
      <x:c r="A33" s="22" t="str">
        <x:v>CM-W-SA-03</x:v>
      </x:c>
      <x:c r="B33" s="22" t="str">
        <x:v>SER-LIX-SAMOSA</x:v>
      </x:c>
      <x:c r="C33" s="22" t="str">
        <x:v>WT-SA-AMADO-HIKI</x:v>
      </x:c>
      <x:c r="D33" s="22" t="str">
        <x:v>雨戸付引違い窓</x:v>
      </x:c>
      <x:c r="E33" s="22" t="str">
        <x:v>AMADO</x:v>
      </x:c>
      <x:c r="F33" s="22" t="str">
        <x:v>SHOW</x:v>
      </x:c>
      <x:c r="G33" s="22" t="str">
        <x:v>COMPLETE</x:v>
      </x:c>
      <x:c r="H33" s="22" t="str">
        <x:v>CM-EV-002,006</x:v>
      </x:c>
    </x:row>
    <x:row r="34">
      <x:c r="A34" s="22" t="str">
        <x:v>CM-W-SA-04</x:v>
      </x:c>
      <x:c r="B34" s="22" t="str">
        <x:v>SER-LIX-SAMOSA</x:v>
      </x:c>
      <x:c r="C34" s="22" t="str">
        <x:v>WT-SA-TATE-SUBERI</x:v>
      </x:c>
      <x:c r="D34" s="22" t="str">
        <x:v>縦すべり出し窓（カムラッチ）</x:v>
      </x:c>
      <x:c r="E34" s="22" t="str">
        <x:v>DECORATIVE</x:v>
      </x:c>
      <x:c r="F34" s="22" t="str">
        <x:v>SHOW</x:v>
      </x:c>
      <x:c r="G34" s="22" t="str">
        <x:v>COMPLETE</x:v>
      </x:c>
      <x:c r="H34" s="22" t="str">
        <x:v>CM-EV-002,006</x:v>
      </x:c>
    </x:row>
    <x:row r="35">
      <x:c r="A35" s="22" t="str">
        <x:v>CM-W-SA-05</x:v>
      </x:c>
      <x:c r="B35" s="22" t="str">
        <x:v>SER-LIX-SAMOSA</x:v>
      </x:c>
      <x:c r="C35" s="22" t="str">
        <x:v>WT-SA-YOKO-SUBERI</x:v>
      </x:c>
      <x:c r="D35" s="22" t="str">
        <x:v>横すべり出し窓（カムラッチ）</x:v>
      </x:c>
      <x:c r="E35" s="22" t="str">
        <x:v>DECORATIVE</x:v>
      </x:c>
      <x:c r="F35" s="22" t="str">
        <x:v>SHOW</x:v>
      </x:c>
      <x:c r="G35" s="22" t="str">
        <x:v>COMPLETE</x:v>
      </x:c>
      <x:c r="H35" s="22" t="str">
        <x:v>CM-EV-002,006</x:v>
      </x:c>
    </x:row>
    <x:row r="36">
      <x:c r="A36" s="22" t="str">
        <x:v>CM-W-SA-06</x:v>
      </x:c>
      <x:c r="B36" s="22" t="str">
        <x:v>SER-LIX-SAMOSA</x:v>
      </x:c>
      <x:c r="C36" s="22" t="str">
        <x:v>WT-SA-FIX-IN</x:v>
      </x:c>
      <x:c r="D36" s="22" t="str">
        <x:v>FIX窓（内押縁タイプ）</x:v>
      </x:c>
      <x:c r="E36" s="22" t="str">
        <x:v>DECORATIVE</x:v>
      </x:c>
      <x:c r="F36" s="22" t="str">
        <x:v>SHOW</x:v>
      </x:c>
      <x:c r="G36" s="22" t="str">
        <x:v>COMPLETE</x:v>
      </x:c>
      <x:c r="H36" s="22" t="str">
        <x:v>CM-EV-002,006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34" hidden="0" customWidth="1"/>
    <x:col min="4" max="4" width="52" hidden="0" customWidth="1"/>
    <x:col min="5" max="5" width="22" hidden="0" customWidth="1"/>
    <x:col min="6" max="6" width="18" hidden="0" customWidth="1"/>
    <x:col min="7" max="7" width="24" hidden="0" customWidth="1"/>
  </x:cols>
  <x:sheetData>
    <x:row r="1">
      <x:c r="A1" s="4" t="str">
        <x:v>04_窓種固有仕様｜差分のみ</x:v>
      </x:c>
      <x:c r="B1" s="4"/>
      <x:c r="C1" s="4"/>
      <x:c r="D1" s="4"/>
      <x:c r="E1" s="4"/>
      <x:c r="F1" s="4"/>
      <x:c r="G1" s="4"/>
    </x:row>
    <x:row r="2">
      <x:c r="A2" s="17" t="str">
        <x:v>rule_id</x:v>
      </x:c>
      <x:c r="B2" s="17" t="str">
        <x:v>series</x:v>
      </x:c>
      <x:c r="C2" s="17" t="str">
        <x:v>spec_mode</x:v>
      </x:c>
      <x:c r="D2" s="17" t="str">
        <x:v>source/rule</x:v>
      </x:c>
      <x:c r="E2" s="17" t="str">
        <x:v>selection_mode</x:v>
      </x:c>
      <x:c r="F2" s="17" t="str">
        <x:v>status</x:v>
      </x:c>
      <x:c r="G2" s="17" t="str">
        <x:v>evidence</x:v>
      </x:c>
    </x:row>
    <x:row r="3">
      <x:c r="A3" s="22" t="str">
        <x:v>CM-SPEC-01</x:v>
      </x:c>
      <x:c r="B3" s="22" t="str">
        <x:v>SER-LIX-TW</x:v>
      </x:c>
      <x:c r="C3" s="22" t="str">
        <x:v>series_window_id / TW固有仕様</x:v>
      </x:c>
      <x:c r="D3" s="22" t="str">
        <x:v>参照正本03A/05系</x:v>
      </x:c>
      <x:c r="E3" s="22" t="str">
        <x:v>REFERENCE_ONLY</x:v>
      </x:c>
      <x:c r="F3" s="22" t="str">
        <x:v>COMPLETE</x:v>
      </x:c>
      <x:c r="G3" s="22" t="str">
        <x:v>CM-EV-003</x:v>
      </x:c>
    </x:row>
    <x:row r="4">
      <x:c r="A4" s="22" t="str">
        <x:v>CM-SPEC-02</x:v>
      </x:c>
      <x:c r="B4" s="22" t="str">
        <x:v>SER-LIX-SAMOS2H</x:v>
      </x:c>
      <x:c r="C4" s="22" t="str">
        <x:v>solid_spec_id</x:v>
      </x:c>
      <x:c r="D4" s="22" t="str">
        <x:v>参照正本04_窓種固有仕様</x:v>
      </x:c>
      <x:c r="E4" s="22" t="str">
        <x:v>REFERENCE_ONLY</x:v>
      </x:c>
      <x:c r="F4" s="22" t="str">
        <x:v>COMPLETE</x:v>
      </x:c>
      <x:c r="G4" s="22" t="str">
        <x:v>CM-EV-004</x:v>
      </x:c>
    </x:row>
    <x:row r="5">
      <x:c r="A5" s="22" t="str">
        <x:v>CM-SPEC-03</x:v>
      </x:c>
      <x:c r="B5" s="22" t="str">
        <x:v>SER-LIX-SAMOSL</x:v>
      </x:c>
      <x:c r="C5" s="22" t="str">
        <x:v>solid_spec_id</x:v>
      </x:c>
      <x:c r="D5" s="22" t="str">
        <x:v>参照正本04_窓種固有仕様</x:v>
      </x:c>
      <x:c r="E5" s="22" t="str">
        <x:v>REFERENCE_ONLY</x:v>
      </x:c>
      <x:c r="F5" s="22" t="str">
        <x:v>COMPLETE</x:v>
      </x:c>
      <x:c r="G5" s="22" t="str">
        <x:v>CM-EV-005</x:v>
      </x:c>
    </x:row>
    <x:row r="6">
      <x:c r="A6" s="22" t="str">
        <x:v>CM-SPEC-04</x:v>
      </x:c>
      <x:c r="B6" s="22" t="str">
        <x:v>SER-LIX-SAMOSA</x:v>
      </x:c>
      <x:c r="C6" s="22" t="str">
        <x:v>native canonical fields/rules</x:v>
      </x:c>
      <x:c r="D6" s="22" t="str">
        <x:v>15_DEPENDENCY_RULE</x:v>
      </x:c>
      <x:c r="E6" s="22" t="str">
        <x:v>REFERENCE_ONLY</x:v>
      </x:c>
      <x:c r="F6" s="22" t="str">
        <x:v>COMPLETE</x:v>
      </x:c>
      <x:c r="G6" s="22" t="str">
        <x:v>CM-EV-006</x:v>
      </x:c>
    </x:row>
    <x:row r="7">
      <x:c r="A7" s="22" t="str">
        <x:v>CM-SPEC-05</x:v>
      </x:c>
      <x:c r="B7" s="22" t="str">
        <x:v>ALL</x:v>
      </x:c>
      <x:c r="C7" s="22" t="str">
        <x:v>frame_mounted_grille</x:v>
      </x:c>
      <x:c r="D7" s="22" t="str">
        <x:v>CUT-MALLと干渉</x:v>
      </x:c>
      <x:c r="E7" s="22" t="str">
        <x:v>HIDE</x:v>
      </x:c>
      <x:c r="F7" s="22" t="str">
        <x:v>COMPLETE</x:v>
      </x:c>
      <x:c r="G7" s="22" t="str">
        <x:v>CM-EV-013</x:v>
      </x:c>
    </x:row>
  </x:sheetData>
  <x:mergeCells>
    <x:mergeCell ref="A1:G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68" hidden="0" customWidth="1"/>
    <x:col min="4" max="4" width="24" hidden="0" customWidth="1"/>
    <x:col min="5" max="5" width="30" hidden="0" customWidth="1"/>
    <x:col min="6" max="6" width="24" hidden="0" customWidth="1"/>
  </x:cols>
  <x:sheetData>
    <x:row r="1">
      <x:c r="A1" s="4" t="str">
        <x:v>05_サイズルール</x:v>
      </x:c>
      <x:c r="B1" s="4"/>
      <x:c r="C1" s="4"/>
      <x:c r="D1" s="4"/>
      <x:c r="E1" s="4"/>
      <x:c r="F1" s="4"/>
    </x:row>
    <x:row r="2">
      <x:c r="A2" s="17" t="str">
        <x:v>rule_id</x:v>
      </x:c>
      <x:c r="B2" s="17" t="str">
        <x:v>scope</x:v>
      </x:c>
      <x:c r="C2" s="17" t="str">
        <x:v>rule</x:v>
      </x:c>
      <x:c r="D2" s="17" t="str">
        <x:v>result</x:v>
      </x:c>
      <x:c r="E2" s="17" t="str">
        <x:v>status</x:v>
      </x:c>
      <x:c r="F2" s="17" t="str">
        <x:v>evidence</x:v>
      </x:c>
    </x:row>
    <x:row r="3">
      <x:c r="A3" s="22" t="str">
        <x:v>CM-SIZE-01</x:v>
      </x:c>
      <x:c r="B3" s="22" t="str">
        <x:v>new_sash_size</x:v>
      </x:c>
      <x:c r="C3" s="22" t="str">
        <x:v>参照商品正本サイズ判定</x:v>
      </x:c>
      <x:c r="D3" s="22" t="str">
        <x:v>REFERENCE_ONLY</x:v>
      </x:c>
      <x:c r="E3" s="22" t="str">
        <x:v>COMPLETE</x:v>
      </x:c>
      <x:c r="F3" s="22" t="str">
        <x:v>CM-EV-003～006</x:v>
      </x:c>
    </x:row>
    <x:row r="4">
      <x:c r="A4" s="22" t="str">
        <x:v>CM-SIZE-02</x:v>
      </x:c>
      <x:c r="B4" s="22" t="str">
        <x:v>same_size</x:v>
      </x:c>
      <x:c r="C4" s="22" t="str">
        <x:v>既設サッシ寸法と同寸を基本</x:v>
      </x:c>
      <x:c r="D4" s="22" t="str">
        <x:v>AVAILABLE</x:v>
      </x:c>
      <x:c r="E4" s="22" t="str">
        <x:v>COMPLETE</x:v>
      </x:c>
      <x:c r="F4" s="22" t="str">
        <x:v>CM-EV-013</x:v>
      </x:c>
    </x:row>
    <x:row r="5">
      <x:c r="A5" s="22" t="str">
        <x:v>CM-SIZE-03</x:v>
      </x:c>
      <x:c r="B5" s="22" t="str">
        <x:v>larger</x:v>
      </x:c>
      <x:c r="C5" s="22" t="str">
        <x:v>開口拡大工事が必要</x:v>
      </x:c>
      <x:c r="D5" s="22" t="str">
        <x:v>CONDITIONAL</x:v>
      </x:c>
      <x:c r="E5" s="22" t="str">
        <x:v>COMPLETE</x:v>
      </x:c>
      <x:c r="F5" s="22" t="str">
        <x:v>CM-EV-013</x:v>
      </x:c>
    </x:row>
    <x:row r="6">
      <x:c r="A6" s="22" t="str">
        <x:v>CM-SIZE-04</x:v>
      </x:c>
      <x:c r="B6" s="22" t="str">
        <x:v>smaller</x:v>
      </x:c>
      <x:c r="C6" s="22" t="str">
        <x:v>カット部をモールで覆えない</x:v>
      </x:c>
      <x:c r="D6" s="22" t="str">
        <x:v>UNAVAILABLE</x:v>
      </x:c>
      <x:c r="E6" s="22" t="str">
        <x:v>COMPLETE</x:v>
      </x:c>
      <x:c r="F6" s="22" t="str">
        <x:v>CM-EV-013</x:v>
      </x:c>
    </x:row>
    <x:row r="7">
      <x:c r="A7" s="22" t="str">
        <x:v>CM-SIZE-05</x:v>
      </x:c>
      <x:c r="B7" s="22" t="str">
        <x:v>special_figure</x:v>
      </x:c>
      <x:c r="C7" s="22" t="str">
        <x:v>図形境界/特殊納まり</x:v>
      </x:c>
      <x:c r="D7" s="22" t="str">
        <x:v>EXTERNAL_CHECK</x:v>
      </x:c>
      <x:c r="E7" s="22" t="str">
        <x:v>COMPLETE_WITH_EXTERNAL_CHECK</x:v>
      </x:c>
      <x:c r="F7" s="22" t="str">
        <x:v>CM-EV-007～010</x:v>
      </x:c>
    </x:row>
  </x:sheetData>
  <x:mergeCells>
    <x:mergeCell ref="A1:F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22" hidden="0" customWidth="1"/>
    <x:col min="4" max="4" width="18" hidden="0" customWidth="1"/>
    <x:col min="5" max="5" width="22" hidden="0" customWidth="1"/>
    <x:col min="6" max="6" width="32" hidden="0" customWidth="1"/>
    <x:col min="7" max="7" width="14" hidden="0" customWidth="1"/>
    <x:col min="8" max="8" width="16" hidden="0" customWidth="1"/>
    <x:col min="9" max="9" width="44" hidden="0" customWidth="1"/>
    <x:col min="10" max="10" width="32" hidden="0" customWidth="1"/>
    <x:col min="11" max="11" width="24" hidden="0" customWidth="1"/>
  </x:cols>
  <x:sheetData>
    <x:row r="1">
      <x:c r="A1" s="4" t="str">
        <x:v>05B_カットモール寸法｜MW/MH公式式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>
      <x:c r="A2" s="10" t="str">
        <x:v>サーモス系・TWとも現行LIXIL公式式を機械判定可能に保持。ATT系WS/HS変換式は使用しない。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4">
      <x:c r="A4" s="17" t="str">
        <x:v>dimension_rule_id</x:v>
      </x:c>
      <x:c r="B4" s="17" t="str">
        <x:v>referenced_series_id</x:v>
      </x:c>
      <x:c r="C4" s="17" t="str">
        <x:v>family</x:v>
      </x:c>
      <x:c r="D4" s="17" t="str">
        <x:v>opening_class</x:v>
      </x:c>
      <x:c r="E4" s="17" t="str">
        <x:v>result_dimension</x:v>
      </x:c>
      <x:c r="F4" s="17" t="str">
        <x:v>source_dimension</x:v>
      </x:c>
      <x:c r="G4" s="17" t="str">
        <x:v>operator</x:v>
      </x:c>
      <x:c r="H4" s="17" t="str">
        <x:v>offset_mm</x:v>
      </x:c>
      <x:c r="I4" s="17" t="str">
        <x:v>formula</x:v>
      </x:c>
      <x:c r="J4" s="17" t="str">
        <x:v>status</x:v>
      </x:c>
      <x:c r="K4" s="17" t="str">
        <x:v>evidence</x:v>
      </x:c>
    </x:row>
    <x:row r="5">
      <x:c r="A5" s="22" t="str">
        <x:v>CM-DIM-SAMOS-NORMAL-MADO</x:v>
      </x:c>
      <x:c r="B5" s="22" t="str">
        <x:v>SER-LIX-SAMOS2H|SER-LIX-SAMOSL|SER-LIX-SAMOSA</x:v>
      </x:c>
      <x:c r="C5" s="22" t="str">
        <x:v>STANDARD|DECORATIVE</x:v>
      </x:c>
      <x:c r="D5" s="22" t="str">
        <x:v>MADO</x:v>
      </x:c>
      <x:c r="E5" s="22" t="str">
        <x:v>MW</x:v>
      </x:c>
      <x:c r="F5" s="22" t="str">
        <x:v>new_sash_W</x:v>
      </x:c>
      <x:c r="G5" s="22" t="str">
        <x:v>+</x:v>
      </x:c>
      <x:c r="H5" s="22" t="str">
        <x:v>16</x:v>
      </x:c>
      <x:c r="I5" s="22" t="str">
        <x:v>MW = W + 16</x:v>
      </x:c>
      <x:c r="J5" s="22" t="str">
        <x:v>COMPLETE</x:v>
      </x:c>
      <x:c r="K5" s="22" t="str">
        <x:v>CM-EV-007</x:v>
      </x:c>
    </x:row>
    <x:row r="6">
      <x:c r="A6" s="22" t="str">
        <x:v>CM-DIM-SAMOS-NORMAL-MADO-H</x:v>
      </x:c>
      <x:c r="B6" s="22" t="str">
        <x:v>SER-LIX-SAMOS2H|SER-LIX-SAMOSL|SER-LIX-SAMOSA</x:v>
      </x:c>
      <x:c r="C6" s="22" t="str">
        <x:v>STANDARD|DECORATIVE</x:v>
      </x:c>
      <x:c r="D6" s="22" t="str">
        <x:v>MADO</x:v>
      </x:c>
      <x:c r="E6" s="22" t="str">
        <x:v>MH</x:v>
      </x:c>
      <x:c r="F6" s="22" t="str">
        <x:v>new_sash_H</x:v>
      </x:c>
      <x:c r="G6" s="22" t="str">
        <x:v>+</x:v>
      </x:c>
      <x:c r="H6" s="22" t="str">
        <x:v>26</x:v>
      </x:c>
      <x:c r="I6" s="22" t="str">
        <x:v>MH = H + 26</x:v>
      </x:c>
      <x:c r="J6" s="22" t="str">
        <x:v>COMPLETE</x:v>
      </x:c>
      <x:c r="K6" s="22" t="str">
        <x:v>CM-EV-007</x:v>
      </x:c>
    </x:row>
    <x:row r="7">
      <x:c r="A7" s="22" t="str">
        <x:v>CM-DIM-SAMOS-NORMAL-TERRACE</x:v>
      </x:c>
      <x:c r="B7" s="22" t="str">
        <x:v>SER-LIX-SAMOS2H|SER-LIX-SAMOSL|SER-LIX-SAMOSA</x:v>
      </x:c>
      <x:c r="C7" s="22" t="str">
        <x:v>STANDARD|DECORATIVE</x:v>
      </x:c>
      <x:c r="D7" s="22" t="str">
        <x:v>TERRACE</x:v>
      </x:c>
      <x:c r="E7" s="22" t="str">
        <x:v>MW</x:v>
      </x:c>
      <x:c r="F7" s="22" t="str">
        <x:v>new_sash_W</x:v>
      </x:c>
      <x:c r="G7" s="22" t="str">
        <x:v>+</x:v>
      </x:c>
      <x:c r="H7" s="22" t="str">
        <x:v>16</x:v>
      </x:c>
      <x:c r="I7" s="22" t="str">
        <x:v>MW = W + 16</x:v>
      </x:c>
      <x:c r="J7" s="22" t="str">
        <x:v>COMPLETE</x:v>
      </x:c>
      <x:c r="K7" s="22" t="str">
        <x:v>CM-EV-007</x:v>
      </x:c>
    </x:row>
    <x:row r="8">
      <x:c r="A8" s="22" t="str">
        <x:v>CM-DIM-SAMOS-NORMAL-TERRACE-H</x:v>
      </x:c>
      <x:c r="B8" s="22" t="str">
        <x:v>SER-LIX-SAMOS2H|SER-LIX-SAMOSL|SER-LIX-SAMOSA</x:v>
      </x:c>
      <x:c r="C8" s="22" t="str">
        <x:v>STANDARD|DECORATIVE</x:v>
      </x:c>
      <x:c r="D8" s="22" t="str">
        <x:v>TERRACE</x:v>
      </x:c>
      <x:c r="E8" s="22" t="str">
        <x:v>MH</x:v>
      </x:c>
      <x:c r="F8" s="22" t="str">
        <x:v>new_sash_H</x:v>
      </x:c>
      <x:c r="G8" s="22" t="str">
        <x:v>+</x:v>
      </x:c>
      <x:c r="H8" s="22" t="str">
        <x:v>66</x:v>
      </x:c>
      <x:c r="I8" s="22" t="str">
        <x:v>MH = H + 66</x:v>
      </x:c>
      <x:c r="J8" s="22" t="str">
        <x:v>COMPLETE</x:v>
      </x:c>
      <x:c r="K8" s="22" t="str">
        <x:v>CM-EV-007</x:v>
      </x:c>
    </x:row>
    <x:row r="9">
      <x:c r="A9" s="22" t="str">
        <x:v>CM-DIM-SAMOS-SHUT-MADO-W</x:v>
      </x:c>
      <x:c r="B9" s="22" t="str">
        <x:v>SER-LIX-SAMOS2H|SER-LIX-SAMOSL|SER-LIX-SAMOSA</x:v>
      </x:c>
      <x:c r="C9" s="22" t="str">
        <x:v>SHUTTER</x:v>
      </x:c>
      <x:c r="D9" s="22" t="str">
        <x:v>MADO</x:v>
      </x:c>
      <x:c r="E9" s="22" t="str">
        <x:v>MW</x:v>
      </x:c>
      <x:c r="F9" s="22" t="str">
        <x:v>new_sash_W</x:v>
      </x:c>
      <x:c r="G9" s="22" t="str">
        <x:v>+</x:v>
      </x:c>
      <x:c r="H9" s="22" t="str">
        <x:v>26</x:v>
      </x:c>
      <x:c r="I9" s="22" t="str">
        <x:v>MW = W + 26</x:v>
      </x:c>
      <x:c r="J9" s="22" t="str">
        <x:v>COMPLETE</x:v>
      </x:c>
      <x:c r="K9" s="22" t="str">
        <x:v>CM-EV-008</x:v>
      </x:c>
    </x:row>
    <x:row r="10">
      <x:c r="A10" s="22" t="str">
        <x:v>CM-DIM-SAMOS-SHUT-MADO-H</x:v>
      </x:c>
      <x:c r="B10" s="22" t="str">
        <x:v>SER-LIX-SAMOS2H|SER-LIX-SAMOSL|SER-LIX-SAMOSA</x:v>
      </x:c>
      <x:c r="C10" s="22" t="str">
        <x:v>SHUTTER</x:v>
      </x:c>
      <x:c r="D10" s="22" t="str">
        <x:v>MADO</x:v>
      </x:c>
      <x:c r="E10" s="22" t="str">
        <x:v>MH</x:v>
      </x:c>
      <x:c r="F10" s="22" t="str">
        <x:v>new_sash_H</x:v>
      </x:c>
      <x:c r="G10" s="22" t="str">
        <x:v>+</x:v>
      </x:c>
      <x:c r="H10" s="22" t="str">
        <x:v>272</x:v>
      </x:c>
      <x:c r="I10" s="22" t="str">
        <x:v>MH = H + 272</x:v>
      </x:c>
      <x:c r="J10" s="22" t="str">
        <x:v>COMPLETE</x:v>
      </x:c>
      <x:c r="K10" s="22" t="str">
        <x:v>CM-EV-008</x:v>
      </x:c>
    </x:row>
    <x:row r="11">
      <x:c r="A11" s="22" t="str">
        <x:v>CM-DIM-SAMOS-SHUT-TERR-W</x:v>
      </x:c>
      <x:c r="B11" s="22" t="str">
        <x:v>SER-LIX-SAMOS2H|SER-LIX-SAMOSL|SER-LIX-SAMOSA</x:v>
      </x:c>
      <x:c r="C11" s="22" t="str">
        <x:v>SHUTTER</x:v>
      </x:c>
      <x:c r="D11" s="22" t="str">
        <x:v>TERRACE</x:v>
      </x:c>
      <x:c r="E11" s="22" t="str">
        <x:v>MW</x:v>
      </x:c>
      <x:c r="F11" s="22" t="str">
        <x:v>new_sash_W</x:v>
      </x:c>
      <x:c r="G11" s="22" t="str">
        <x:v>+</x:v>
      </x:c>
      <x:c r="H11" s="22" t="str">
        <x:v>26</x:v>
      </x:c>
      <x:c r="I11" s="22" t="str">
        <x:v>MW = W + 26</x:v>
      </x:c>
      <x:c r="J11" s="22" t="str">
        <x:v>COMPLETE</x:v>
      </x:c>
      <x:c r="K11" s="22" t="str">
        <x:v>CM-EV-008</x:v>
      </x:c>
    </x:row>
    <x:row r="12">
      <x:c r="A12" s="22" t="str">
        <x:v>CM-DIM-SAMOS-SHUT-TERR-H</x:v>
      </x:c>
      <x:c r="B12" s="22" t="str">
        <x:v>SER-LIX-SAMOS2H|SER-LIX-SAMOSL|SER-LIX-SAMOSA</x:v>
      </x:c>
      <x:c r="C12" s="22" t="str">
        <x:v>SHUTTER</x:v>
      </x:c>
      <x:c r="D12" s="22" t="str">
        <x:v>TERRACE</x:v>
      </x:c>
      <x:c r="E12" s="22" t="str">
        <x:v>MH</x:v>
      </x:c>
      <x:c r="F12" s="22" t="str">
        <x:v>new_sash_H</x:v>
      </x:c>
      <x:c r="G12" s="22" t="str">
        <x:v>+</x:v>
      </x:c>
      <x:c r="H12" s="22" t="str">
        <x:v>312</x:v>
      </x:c>
      <x:c r="I12" s="22" t="str">
        <x:v>MH = H + 312</x:v>
      </x:c>
      <x:c r="J12" s="22" t="str">
        <x:v>COMPLETE</x:v>
      </x:c>
      <x:c r="K12" s="22" t="str">
        <x:v>CM-EV-008</x:v>
      </x:c>
    </x:row>
    <x:row r="13">
      <x:c r="A13" s="22" t="str">
        <x:v>CM-DIM-SAMOS-AMADO-W</x:v>
      </x:c>
      <x:c r="B13" s="22" t="str">
        <x:v>SER-LIX-SAMOS2H|SER-LIX-SAMOSL|SER-LIX-SAMOSA</x:v>
      </x:c>
      <x:c r="C13" s="22" t="str">
        <x:v>AMADO</x:v>
      </x:c>
      <x:c r="D13" s="22" t="str">
        <x:v>MADO|TERRACE</x:v>
      </x:c>
      <x:c r="E13" s="22" t="str">
        <x:v>MW</x:v>
      </x:c>
      <x:c r="F13" s="22" t="str">
        <x:v>new_sash_W+amado_pocket_W</x:v>
      </x:c>
      <x:c r="G13" s="22" t="str">
        <x:v>+</x:v>
      </x:c>
      <x:c r="H13" s="22" t="str">
        <x:v>3</x:v>
      </x:c>
      <x:c r="I13" s="22" t="str">
        <x:v>MW = W + 戸袋納まりW + 3</x:v>
      </x:c>
      <x:c r="J13" s="22" t="str">
        <x:v>COMPLETE</x:v>
      </x:c>
      <x:c r="K13" s="22" t="str">
        <x:v>CM-EV-009</x:v>
      </x:c>
    </x:row>
    <x:row r="14">
      <x:c r="A14" s="22" t="str">
        <x:v>CM-DIM-SAMOS-AMADO-MADO-H</x:v>
      </x:c>
      <x:c r="B14" s="22" t="str">
        <x:v>SER-LIX-SAMOS2H|SER-LIX-SAMOSL|SER-LIX-SAMOSA</x:v>
      </x:c>
      <x:c r="C14" s="22" t="str">
        <x:v>AMADO</x:v>
      </x:c>
      <x:c r="D14" s="22" t="str">
        <x:v>MADO</x:v>
      </x:c>
      <x:c r="E14" s="22" t="str">
        <x:v>MH</x:v>
      </x:c>
      <x:c r="F14" s="22" t="str">
        <x:v>new_sash_H</x:v>
      </x:c>
      <x:c r="G14" s="22" t="str">
        <x:v>+</x:v>
      </x:c>
      <x:c r="H14" s="22" t="str">
        <x:v>44</x:v>
      </x:c>
      <x:c r="I14" s="22" t="str">
        <x:v>MH = H + 44</x:v>
      </x:c>
      <x:c r="J14" s="22" t="str">
        <x:v>COMPLETE</x:v>
      </x:c>
      <x:c r="K14" s="22" t="str">
        <x:v>CM-EV-009</x:v>
      </x:c>
    </x:row>
    <x:row r="15">
      <x:c r="A15" s="22" t="str">
        <x:v>CM-DIM-SAMOS-AMADO-TERR-H</x:v>
      </x:c>
      <x:c r="B15" s="22" t="str">
        <x:v>SER-LIX-SAMOS2H|SER-LIX-SAMOSL|SER-LIX-SAMOSA</x:v>
      </x:c>
      <x:c r="C15" s="22" t="str">
        <x:v>AMADO</x:v>
      </x:c>
      <x:c r="D15" s="22" t="str">
        <x:v>TERRACE</x:v>
      </x:c>
      <x:c r="E15" s="22" t="str">
        <x:v>MH</x:v>
      </x:c>
      <x:c r="F15" s="22" t="str">
        <x:v>new_sash_H</x:v>
      </x:c>
      <x:c r="G15" s="22" t="str">
        <x:v>+</x:v>
      </x:c>
      <x:c r="H15" s="22" t="str">
        <x:v>84</x:v>
      </x:c>
      <x:c r="I15" s="22" t="str">
        <x:v>MH = H + 84</x:v>
      </x:c>
      <x:c r="J15" s="22" t="str">
        <x:v>COMPLETE</x:v>
      </x:c>
      <x:c r="K15" s="22" t="str">
        <x:v>CM-EV-009</x:v>
      </x:c>
    </x:row>
    <x:row r="16">
      <x:c r="A16" s="22" t="str">
        <x:v>CM-DIM-TW-HIKI-MADO-W</x:v>
      </x:c>
      <x:c r="B16" s="22" t="str">
        <x:v>SER-LIX-TW</x:v>
      </x:c>
      <x:c r="C16" s="22" t="str">
        <x:v>HIKICHIGAI</x:v>
      </x:c>
      <x:c r="D16" s="22" t="str">
        <x:v>MADO</x:v>
      </x:c>
      <x:c r="E16" s="22" t="str">
        <x:v>MW</x:v>
      </x:c>
      <x:c r="F16" s="22" t="str">
        <x:v>new_sash_W</x:v>
      </x:c>
      <x:c r="G16" s="22" t="str">
        <x:v>+</x:v>
      </x:c>
      <x:c r="H16" s="22" t="str">
        <x:v>16</x:v>
      </x:c>
      <x:c r="I16" s="22" t="str">
        <x:v>MW = W + 16</x:v>
      </x:c>
      <x:c r="J16" s="22" t="str">
        <x:v>COMPLETE</x:v>
      </x:c>
      <x:c r="K16" s="22" t="str">
        <x:v>CM-EV-010</x:v>
      </x:c>
    </x:row>
    <x:row r="17">
      <x:c r="A17" s="22" t="str">
        <x:v>CM-DIM-TW-HIKI-MADO-H</x:v>
      </x:c>
      <x:c r="B17" s="22" t="str">
        <x:v>SER-LIX-TW</x:v>
      </x:c>
      <x:c r="C17" s="22" t="str">
        <x:v>HIKICHIGAI</x:v>
      </x:c>
      <x:c r="D17" s="22" t="str">
        <x:v>MADO</x:v>
      </x:c>
      <x:c r="E17" s="22" t="str">
        <x:v>MH</x:v>
      </x:c>
      <x:c r="F17" s="22" t="str">
        <x:v>new_sash_H</x:v>
      </x:c>
      <x:c r="G17" s="22" t="str">
        <x:v>+</x:v>
      </x:c>
      <x:c r="H17" s="22" t="str">
        <x:v>41</x:v>
      </x:c>
      <x:c r="I17" s="22" t="str">
        <x:v>MH = H + 41</x:v>
      </x:c>
      <x:c r="J17" s="22" t="str">
        <x:v>COMPLETE</x:v>
      </x:c>
      <x:c r="K17" s="22" t="str">
        <x:v>CM-EV-010</x:v>
      </x:c>
    </x:row>
    <x:row r="18">
      <x:c r="A18" s="22" t="str">
        <x:v>CM-DIM-TW-HIKI-TERR-W</x:v>
      </x:c>
      <x:c r="B18" s="22" t="str">
        <x:v>SER-LIX-TW</x:v>
      </x:c>
      <x:c r="C18" s="22" t="str">
        <x:v>HIKICHIGAI</x:v>
      </x:c>
      <x:c r="D18" s="22" t="str">
        <x:v>TERRACE</x:v>
      </x:c>
      <x:c r="E18" s="22" t="str">
        <x:v>MW</x:v>
      </x:c>
      <x:c r="F18" s="22" t="str">
        <x:v>new_sash_W</x:v>
      </x:c>
      <x:c r="G18" s="22" t="str">
        <x:v>+</x:v>
      </x:c>
      <x:c r="H18" s="22" t="str">
        <x:v>16</x:v>
      </x:c>
      <x:c r="I18" s="22" t="str">
        <x:v>MW = W + 16</x:v>
      </x:c>
      <x:c r="J18" s="22" t="str">
        <x:v>COMPLETE</x:v>
      </x:c>
      <x:c r="K18" s="22" t="str">
        <x:v>CM-EV-010</x:v>
      </x:c>
    </x:row>
    <x:row r="19">
      <x:c r="A19" s="22" t="str">
        <x:v>CM-DIM-TW-HIKI-TERR-H</x:v>
      </x:c>
      <x:c r="B19" s="22" t="str">
        <x:v>SER-LIX-TW</x:v>
      </x:c>
      <x:c r="C19" s="22" t="str">
        <x:v>HIKICHIGAI</x:v>
      </x:c>
      <x:c r="D19" s="22" t="str">
        <x:v>TERRACE</x:v>
      </x:c>
      <x:c r="E19" s="22" t="str">
        <x:v>MH</x:v>
      </x:c>
      <x:c r="F19" s="22" t="str">
        <x:v>new_sash_H</x:v>
      </x:c>
      <x:c r="G19" s="22" t="str">
        <x:v>+</x:v>
      </x:c>
      <x:c r="H19" s="22" t="str">
        <x:v>81</x:v>
      </x:c>
      <x:c r="I19" s="22" t="str">
        <x:v>MH = H + 81</x:v>
      </x:c>
      <x:c r="J19" s="22" t="str">
        <x:v>COMPLETE</x:v>
      </x:c>
      <x:c r="K19" s="22" t="str">
        <x:v>CM-EV-010</x:v>
      </x:c>
    </x:row>
    <x:row r="20">
      <x:c r="A20" s="22" t="str">
        <x:v>CM-DIM-TW-DECO-MADO-W</x:v>
      </x:c>
      <x:c r="B20" s="22" t="str">
        <x:v>SER-LIX-TW</x:v>
      </x:c>
      <x:c r="C20" s="22" t="str">
        <x:v>DECORATIVE</x:v>
      </x:c>
      <x:c r="D20" s="22" t="str">
        <x:v>MADO</x:v>
      </x:c>
      <x:c r="E20" s="22" t="str">
        <x:v>MW</x:v>
      </x:c>
      <x:c r="F20" s="22" t="str">
        <x:v>new_sash_W</x:v>
      </x:c>
      <x:c r="G20" s="22" t="str">
        <x:v>+</x:v>
      </x:c>
      <x:c r="H20" s="22" t="str">
        <x:v>16</x:v>
      </x:c>
      <x:c r="I20" s="22" t="str">
        <x:v>MW = W + 16</x:v>
      </x:c>
      <x:c r="J20" s="22" t="str">
        <x:v>COMPLETE</x:v>
      </x:c>
      <x:c r="K20" s="22" t="str">
        <x:v>CM-EV-010</x:v>
      </x:c>
    </x:row>
    <x:row r="21">
      <x:c r="A21" s="22" t="str">
        <x:v>CM-DIM-TW-DECO-MADO-H</x:v>
      </x:c>
      <x:c r="B21" s="22" t="str">
        <x:v>SER-LIX-TW</x:v>
      </x:c>
      <x:c r="C21" s="22" t="str">
        <x:v>DECORATIVE</x:v>
      </x:c>
      <x:c r="D21" s="22" t="str">
        <x:v>MADO</x:v>
      </x:c>
      <x:c r="E21" s="22" t="str">
        <x:v>MH</x:v>
      </x:c>
      <x:c r="F21" s="22" t="str">
        <x:v>new_sash_H</x:v>
      </x:c>
      <x:c r="G21" s="22" t="str">
        <x:v>+</x:v>
      </x:c>
      <x:c r="H21" s="22" t="str">
        <x:v>28</x:v>
      </x:c>
      <x:c r="I21" s="22" t="str">
        <x:v>MH = H + 28</x:v>
      </x:c>
      <x:c r="J21" s="22" t="str">
        <x:v>COMPLETE</x:v>
      </x:c>
      <x:c r="K21" s="22" t="str">
        <x:v>CM-EV-010</x:v>
      </x:c>
    </x:row>
    <x:row r="22">
      <x:c r="A22" s="22" t="str">
        <x:v>CM-DIM-TW-DECO-TERR-W</x:v>
      </x:c>
      <x:c r="B22" s="22" t="str">
        <x:v>SER-LIX-TW</x:v>
      </x:c>
      <x:c r="C22" s="22" t="str">
        <x:v>DECORATIVE|VENT_DOOR|TERRACE_DOOR</x:v>
      </x:c>
      <x:c r="D22" s="22" t="str">
        <x:v>TERRACE</x:v>
      </x:c>
      <x:c r="E22" s="22" t="str">
        <x:v>MW</x:v>
      </x:c>
      <x:c r="F22" s="22" t="str">
        <x:v>new_sash_W</x:v>
      </x:c>
      <x:c r="G22" s="22" t="str">
        <x:v>+</x:v>
      </x:c>
      <x:c r="H22" s="22" t="str">
        <x:v>16</x:v>
      </x:c>
      <x:c r="I22" s="22" t="str">
        <x:v>MW = W + 16</x:v>
      </x:c>
      <x:c r="J22" s="22" t="str">
        <x:v>COMPLETE</x:v>
      </x:c>
      <x:c r="K22" s="22" t="str">
        <x:v>CM-EV-010</x:v>
      </x:c>
    </x:row>
    <x:row r="23">
      <x:c r="A23" s="22" t="str">
        <x:v>CM-DIM-TW-DECO-TERR-H</x:v>
      </x:c>
      <x:c r="B23" s="22" t="str">
        <x:v>SER-LIX-TW</x:v>
      </x:c>
      <x:c r="C23" s="22" t="str">
        <x:v>DECORATIVE|VENT_DOOR|TERRACE_DOOR</x:v>
      </x:c>
      <x:c r="D23" s="22" t="str">
        <x:v>TERRACE</x:v>
      </x:c>
      <x:c r="E23" s="22" t="str">
        <x:v>MH</x:v>
      </x:c>
      <x:c r="F23" s="22" t="str">
        <x:v>new_sash_H</x:v>
      </x:c>
      <x:c r="G23" s="22" t="str">
        <x:v>+</x:v>
      </x:c>
      <x:c r="H23" s="22" t="str">
        <x:v>68</x:v>
      </x:c>
      <x:c r="I23" s="22" t="str">
        <x:v>MH = H + 68</x:v>
      </x:c>
      <x:c r="J23" s="22" t="str">
        <x:v>COMPLETE</x:v>
      </x:c>
      <x:c r="K23" s="22" t="str">
        <x:v>CM-EV-010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13.xml><?xml version="1.0" encoding="utf-8"?>
<worksheet xmlns="http://schemas.openxmlformats.org/spreadsheetml/2006/main">
  <sheetFormatPr defaultRowHeight="15"/>
  <cols>
    <col min="1" max="1" width="22" hidden="0" customWidth="1"/>
    <col min="2" max="2" width="30" hidden="0" customWidth="1"/>
    <col min="3" max="3" width="36" hidden="0" customWidth="1"/>
    <col min="4" max="4" width="36" hidden="0" customWidth="1"/>
    <col min="5" max="5" width="24" hidden="0" customWidth="1"/>
    <col min="6" max="6" width="30" hidden="0" customWidth="1"/>
    <col min="7" max="7" width="24" hidden="0" customWidth="1"/>
  </cols>
  <sheetData>
    <row r="1">
      <c r="A1" s="4" t="str">
        <v>06_色｜責任分界</v>
      </c>
      <c r="B1" s="4"/>
      <c r="C1" s="4"/>
      <c r="D1" s="4"/>
      <c r="E1" s="4"/>
      <c r="F1" s="4"/>
      <c r="G1" s="4"/>
    </row>
    <row r="2">
      <c r="A2" s="17" t="str">
        <v>color_rule_id</v>
      </c>
      <c r="B2" s="17" t="str">
        <v>field</v>
      </c>
      <c r="C2" s="17" t="str">
        <v>value/source</v>
      </c>
      <c r="D2" s="17" t="str">
        <v>master</v>
      </c>
      <c r="E2" s="17" t="str">
        <v>selection</v>
      </c>
      <c r="F2" s="17" t="str">
        <v>status</v>
      </c>
      <c r="G2" s="17" t="str">
        <v>evidence</v>
      </c>
    </row>
    <row r="3">
      <c r="A3" s="22" t="str">
        <v>CM-COLOR-SASH</v>
      </c>
      <c r="B3" s="22" t="str">
        <v>referenced_sash_color</v>
      </c>
      <c r="C3" s="22" t="str">
        <v>REFERENCE</v>
      </c>
      <c r="D3" s="22" t="str">
        <v>各参照商品正本</v>
      </c>
      <c r="E3" s="22" t="str">
        <v>REFERENCE_ONLY</v>
      </c>
      <c r="F3" s="22" t="str">
        <v>COMPLETE</v>
      </c>
      <c r="G3" s="22" t="str">
        <v>CM-EV-003～006</v>
      </c>
    </row>
    <row r="4">
      <c r="A4" s="22" t="str">
        <v>CM-COLOR-CUT-T</v>
      </c>
      <c r="B4" s="22" t="str">
        <v>cut_mall_color</v>
      </c>
      <c r="C4" s="22" t="str">
        <v>T</v>
      </c>
      <c r="D4" s="22" t="str">
        <v>ブラック</v>
      </c>
      <c r="E4" s="22" t="str">
        <v>USER_SELECT</v>
      </c>
      <c r="F4" s="22" t="str">
        <v>COMPLETE</v>
      </c>
      <c r="G4" s="22" t="str">
        <v>CM-EV-015</v>
      </c>
    </row>
    <row r="5">
      <c r="A5" s="22" t="str">
        <v>CM-COLOR-CUT-G</v>
      </c>
      <c r="B5" s="22" t="str">
        <v>cut_mall_color</v>
      </c>
      <c r="C5" s="22" t="str">
        <v>G</v>
      </c>
      <c r="D5" s="22" t="str">
        <v>オータムブラウン</v>
      </c>
      <c r="E5" s="22" t="str">
        <v>USER_SELECT</v>
      </c>
      <c r="F5" s="22" t="str">
        <v>COMPLETE</v>
      </c>
      <c r="G5" s="22" t="str">
        <v>CM-EV-015</v>
      </c>
    </row>
    <row r="6">
      <c r="A6" s="22" t="str">
        <v>CM-COLOR-CUT-K</v>
      </c>
      <c r="B6" s="22" t="str">
        <v>cut_mall_color</v>
      </c>
      <c r="C6" s="22" t="str">
        <v>K</v>
      </c>
      <c r="D6" s="22" t="str">
        <v>シャイングレー</v>
      </c>
      <c r="E6" s="22" t="str">
        <v>USER_SELECT</v>
      </c>
      <c r="F6" s="22" t="str">
        <v>COMPLETE</v>
      </c>
      <c r="G6" s="22" t="str">
        <v>CM-EV-015</v>
      </c>
    </row>
    <row r="7">
      <c r="A7" s="22" t="str">
        <v>CM-COLOR-CUT-D</v>
      </c>
      <c r="B7" s="22" t="str">
        <v>cut_mall_color</v>
      </c>
      <c r="C7" s="22" t="str">
        <v>D</v>
      </c>
      <c r="D7" s="22" t="str">
        <v>ナチュラルシルバー</v>
      </c>
      <c r="E7" s="22" t="str">
        <v>USER_SELECT</v>
      </c>
      <c r="F7" s="22" t="str">
        <v>COMPLETE</v>
      </c>
      <c r="G7" s="22" t="str">
        <v>CM-EV-015</v>
      </c>
    </row>
    <row r="8">
      <c r="A8" s="22" t="str">
        <v>CM-COLOR-CUT-W</v>
      </c>
      <c r="B8" s="22" t="str">
        <v>cut_mall_color</v>
      </c>
      <c r="C8" s="22" t="str">
        <v>W</v>
      </c>
      <c r="D8" s="22" t="str">
        <v>ホワイト</v>
      </c>
      <c r="E8" s="22" t="str">
        <v>USER_SELECT</v>
      </c>
      <c r="F8" s="22" t="str">
        <v>COMPLETE</v>
      </c>
      <c r="G8" s="22" t="str">
        <v>CM-EV-015</v>
      </c>
    </row>
    <row r="9">
      <c r="A9" s="22" t="inlineStr">
        <is>
          <t>CM-COLOR-NEW-WF-Y</t>
        </is>
      </c>
      <c r="B9" s="22" t="inlineStr">
        <is>
          <t>new_construction_window_frame_color</t>
        </is>
      </c>
      <c r="C9" s="22" t="inlineStr">
        <is>
          <t>Y</t>
        </is>
      </c>
      <c r="D9" s="22" t="inlineStr">
        <is>
          <t>プレシャスホワイト</t>
        </is>
      </c>
      <c r="E9" s="22" t="str">
        <v>USER_SELECT</v>
      </c>
      <c r="F9" s="22" t="str">
        <v>COMPLETE</v>
      </c>
      <c r="G9" s="22" t="str">
        <v>CM-EV-015</v>
      </c>
    </row>
    <row r="10">
      <c r="A10" s="22" t="inlineStr">
        <is>
          <t>CM-COLOR-NEW-WF-WA</t>
        </is>
      </c>
      <c r="B10" s="22" t="inlineStr">
        <is>
          <t>new_construction_window_frame_color</t>
        </is>
      </c>
      <c r="C10" s="22" t="inlineStr">
        <is>
          <t>WA</t>
        </is>
      </c>
      <c r="D10" s="22" t="inlineStr">
        <is>
          <t>クリエアイボリー</t>
        </is>
      </c>
      <c r="E10" s="22" t="str">
        <v>USER_SELECT</v>
      </c>
      <c r="F10" s="22" t="str">
        <v>COMPLETE</v>
      </c>
      <c r="G10" s="22" t="str">
        <v>CM-EV-015</v>
      </c>
    </row>
    <row r="11">
      <c r="A11" s="22" t="inlineStr">
        <is>
          <t>CM-COLOR-NEW-WF-VM</t>
        </is>
      </c>
      <c r="B11" s="22" t="inlineStr">
        <is>
          <t>new_construction_window_frame_color</t>
        </is>
      </c>
      <c r="C11" s="22" t="inlineStr">
        <is>
          <t>VM</t>
        </is>
      </c>
      <c r="D11" s="22" t="inlineStr">
        <is>
          <t>ブラック</t>
        </is>
      </c>
      <c r="E11" s="22" t="str">
        <v>USER_SELECT</v>
      </c>
      <c r="F11" s="22" t="str">
        <v>COMPLETE</v>
      </c>
      <c r="G11" s="22" t="str">
        <v>CM-EV-015</v>
      </c>
    </row>
    <row r="12">
      <c r="A12" s="22" t="inlineStr">
        <is>
          <t>CM-COLOR-NEW-WF-D</t>
        </is>
      </c>
      <c r="B12" s="22" t="inlineStr">
        <is>
          <t>new_construction_window_frame_color</t>
        </is>
      </c>
      <c r="C12" s="22" t="inlineStr">
        <is>
          <t>D</t>
        </is>
      </c>
      <c r="D12" s="22" t="inlineStr">
        <is>
          <t>クリエダーク</t>
        </is>
      </c>
      <c r="E12" s="22" t="str">
        <v>USER_SELECT</v>
      </c>
      <c r="F12" s="22" t="str">
        <v>COMPLETE</v>
      </c>
      <c r="G12" s="22" t="str">
        <v>CM-EV-015</v>
      </c>
    </row>
    <row r="13">
      <c r="A13" s="22" t="inlineStr">
        <is>
          <t>CM-COLOR-NEW-WF-M</t>
        </is>
      </c>
      <c r="B13" s="22" t="inlineStr">
        <is>
          <t>new_construction_window_frame_color</t>
        </is>
      </c>
      <c r="C13" s="22" t="inlineStr">
        <is>
          <t>M</t>
        </is>
      </c>
      <c r="D13" s="22" t="inlineStr">
        <is>
          <t>クリエモカ</t>
        </is>
      </c>
      <c r="E13" s="22" t="str">
        <v>USER_SELECT</v>
      </c>
      <c r="F13" s="22" t="str">
        <v>COMPLETE</v>
      </c>
      <c r="G13" s="22" t="str">
        <v>CM-EV-015</v>
      </c>
    </row>
    <row r="14">
      <c r="A14" s="22" t="inlineStr">
        <is>
          <t>CM-COLOR-NEW-WF-L</t>
        </is>
      </c>
      <c r="B14" s="22" t="inlineStr">
        <is>
          <t>new_construction_window_frame_color</t>
        </is>
      </c>
      <c r="C14" s="22" t="inlineStr">
        <is>
          <t>L</t>
        </is>
      </c>
      <c r="D14" s="22" t="inlineStr">
        <is>
          <t>クリエラスク</t>
        </is>
      </c>
      <c r="E14" s="22" t="str">
        <v>USER_SELECT</v>
      </c>
      <c r="F14" s="22" t="str">
        <v>COMPLETE</v>
      </c>
      <c r="G14" s="22" t="str">
        <v>CM-EV-015</v>
      </c>
    </row>
    <row r="15">
      <c r="A15" s="22" t="inlineStr">
        <is>
          <t>CM-COLOR-NEW-WF-P</t>
        </is>
      </c>
      <c r="B15" s="22" t="str">
        <v>new_construction_window_frame_color</v>
      </c>
      <c r="C15" s="22" t="inlineStr">
        <is>
          <t>P</t>
        </is>
      </c>
      <c r="D15" s="22" t="inlineStr">
        <is>
          <t>クリエペール</t>
        </is>
      </c>
      <c r="E15" s="22" t="str">
        <v>USER_SELECT</v>
      </c>
      <c r="F15" s="22" t="str">
        <v>COMPLETE</v>
      </c>
      <c r="G15" s="22" t="str">
        <v>CM-EV-015</v>
      </c>
    </row>
    <row r="16">
      <c r="A16" s="22" t="inlineStr">
        <is>
          <t>CM-COLOR-ANG-T</t>
        </is>
      </c>
      <c r="B16" s="22" t="inlineStr">
        <is>
          <t>interior_adjustment_angle_color</t>
        </is>
      </c>
      <c r="C16" s="22" t="inlineStr">
        <is>
          <t>T</t>
        </is>
      </c>
      <c r="D16" s="22" t="inlineStr">
        <is>
          <t>ブラック</t>
        </is>
      </c>
      <c r="E16" s="22" t="str">
        <v>USER_SELECT</v>
      </c>
      <c r="F16" s="22" t="str">
        <v>COMPLETE</v>
      </c>
      <c r="G16" s="22" t="str">
        <v>CM-EV-015</v>
      </c>
    </row>
    <row r="17">
      <c r="A17" s="22" t="inlineStr">
        <is>
          <t>CM-COLOR-ANG-G</t>
        </is>
      </c>
      <c r="B17" s="22" t="inlineStr">
        <is>
          <t>interior_adjustment_angle_color</t>
        </is>
      </c>
      <c r="C17" s="22" t="inlineStr">
        <is>
          <t>G</t>
        </is>
      </c>
      <c r="D17" s="22" t="inlineStr">
        <is>
          <t>オータムブラウン</t>
        </is>
      </c>
      <c r="E17" s="22" t="str">
        <v>USER_SELECT</v>
      </c>
      <c r="F17" s="22" t="str">
        <v>COMPLETE</v>
      </c>
      <c r="G17" s="22" t="str">
        <v>CM-EV-015</v>
      </c>
    </row>
    <row r="18">
      <c r="A18" s="22" t="inlineStr">
        <is>
          <t>CM-COLOR-ANG-K</t>
        </is>
      </c>
      <c r="B18" s="22" t="inlineStr">
        <is>
          <t>interior_adjustment_angle_color</t>
        </is>
      </c>
      <c r="C18" s="22" t="inlineStr">
        <is>
          <t>K</t>
        </is>
      </c>
      <c r="D18" s="22" t="inlineStr">
        <is>
          <t>シャイングレー</t>
        </is>
      </c>
      <c r="E18" s="22" t="str">
        <v>USER_SELECT</v>
      </c>
      <c r="F18" s="22" t="str">
        <v>COMPLETE</v>
      </c>
      <c r="G18" s="22" t="str">
        <v>CM-EV-015</v>
      </c>
    </row>
    <row r="19">
      <c r="A19" s="22" t="inlineStr">
        <is>
          <t>CM-COLOR-ANG-D</t>
        </is>
      </c>
      <c r="B19" s="22" t="inlineStr">
        <is>
          <t>interior_adjustment_angle_color</t>
        </is>
      </c>
      <c r="C19" s="22" t="inlineStr">
        <is>
          <t>D</t>
        </is>
      </c>
      <c r="D19" s="22" t="inlineStr">
        <is>
          <t>ナチュラルシルバー</t>
        </is>
      </c>
      <c r="E19" s="22" t="str">
        <v>USER_SELECT</v>
      </c>
      <c r="F19" s="22" t="str">
        <v>COMPLETE</v>
      </c>
      <c r="G19" s="22" t="str">
        <v>CM-EV-015</v>
      </c>
    </row>
    <row r="20">
      <c r="A20" s="22" t="inlineStr">
        <is>
          <t>CM-COLOR-ANG-W</t>
        </is>
      </c>
      <c r="B20" s="22" t="inlineStr">
        <is>
          <t>interior_adjustment_angle_color</t>
        </is>
      </c>
      <c r="C20" s="22" t="inlineStr">
        <is>
          <t>W</t>
        </is>
      </c>
      <c r="D20" s="22" t="inlineStr">
        <is>
          <t>ホワイト</t>
        </is>
      </c>
      <c r="E20" s="22" t="str">
        <v>USER_SELECT</v>
      </c>
      <c r="F20" s="22" t="str">
        <v>COMPLETE</v>
      </c>
      <c r="G20" s="22" t="str">
        <v>CM-EV-015</v>
      </c>
    </row>
    <row r="21">
      <c r="A21" s="22" t="inlineStr">
        <is>
          <t>CM-COLOR-ANG-C</t>
        </is>
      </c>
      <c r="B21" s="22" t="inlineStr">
        <is>
          <t>interior_adjustment_angle_color</t>
        </is>
      </c>
      <c r="C21" s="22" t="inlineStr">
        <is>
          <t>C</t>
        </is>
      </c>
      <c r="D21" s="22" t="inlineStr">
        <is>
          <t>クリエモカP</t>
        </is>
      </c>
      <c r="E21" s="22" t="str">
        <v>USER_SELECT</v>
      </c>
      <c r="F21" s="22" t="str">
        <v>COMPLETE</v>
      </c>
      <c r="G21" s="22" t="str">
        <v>CM-EV-015</v>
      </c>
    </row>
    <row r="22">
      <c r="A22" s="22" t="inlineStr">
        <is>
          <t>CM-COLOR-ANG-B</t>
        </is>
      </c>
      <c r="B22" s="22" t="str">
        <v>interior_adjustment_angle_color</v>
      </c>
      <c r="C22" s="22" t="inlineStr">
        <is>
          <t>B</t>
        </is>
      </c>
      <c r="D22" s="22" t="inlineStr">
        <is>
          <t>クリエラスクP</t>
        </is>
      </c>
      <c r="E22" s="22" t="str">
        <v>USER_SELECT</v>
      </c>
      <c r="F22" s="22" t="str">
        <v>COMPLETE</v>
      </c>
      <c r="G22" s="22" t="str">
        <v>CM-EV-015</v>
      </c>
    </row>
    <row r="23">
      <c r="A23" s="22" t="inlineStr">
        <is>
          <t>CM-COLOR-ANG-P</t>
        </is>
      </c>
      <c r="B23" s="22" t="str">
        <v>interior_adjustment_angle_color</v>
      </c>
      <c r="C23" s="22" t="inlineStr">
        <is>
          <t>P</t>
        </is>
      </c>
      <c r="D23" s="22" t="inlineStr">
        <is>
          <t>クリエペールP</t>
        </is>
      </c>
      <c r="E23" s="22" t="str">
        <v>USER_SELECT</v>
      </c>
      <c r="F23" s="22" t="str">
        <v>COMPLETE</v>
      </c>
      <c r="G23" s="22" t="str">
        <v>CM-EV-015</v>
      </c>
    </row>
    <row r="24">
      <c r="A24" s="22" t="inlineStr">
        <is>
          <t>CM-COLOR-ANG-F</t>
        </is>
      </c>
      <c r="B24" s="22" t="str">
        <v>interior_adjustment_angle_color</v>
      </c>
      <c r="C24" s="22" t="inlineStr">
        <is>
          <t>F</t>
        </is>
      </c>
      <c r="D24" s="22" t="inlineStr">
        <is>
          <t>プレシャスホワイトP</t>
        </is>
      </c>
      <c r="E24" s="22" t="str">
        <v>USER_SELECT</v>
      </c>
      <c r="F24" s="22" t="str">
        <v>COMPLETE</v>
      </c>
      <c r="G24" s="22" t="str">
        <v>CM-EV-015</v>
      </c>
    </row>
    <row r="25">
      <c r="A25" s="22" t="inlineStr">
        <is>
          <t>V5-CM-WOOD-D</t>
        </is>
      </c>
      <c r="B25" s="22" t="inlineStr">
        <is>
          <t>cut_mall_window_frame_color</t>
        </is>
      </c>
      <c r="C25" s="22" t="str">
        <v>D</v>
      </c>
      <c r="D25" s="22" t="inlineStr">
        <is>
          <t>クリエダーク</t>
        </is>
      </c>
      <c r="E25" s="22" t="str">
        <v>USER_SELECT</v>
      </c>
      <c r="F25" s="22" t="str">
        <v>COMPLETE</v>
      </c>
      <c r="G25" s="22" t="inlineStr">
        <is>
          <t>DELTA-CUT-WOOD-EV-V4</t>
        </is>
      </c>
    </row>
    <row r="26">
      <c r="A26" s="22" t="inlineStr">
        <is>
          <t>V5-CM-WOOD-M</t>
        </is>
      </c>
      <c r="B26" s="22" t="inlineStr">
        <is>
          <t>cut_mall_window_frame_color</t>
        </is>
      </c>
      <c r="C26" s="22" t="inlineStr">
        <is>
          <t>M</t>
        </is>
      </c>
      <c r="D26" s="22" t="inlineStr">
        <is>
          <t>クリエモカ</t>
        </is>
      </c>
      <c r="E26" s="22" t="str">
        <v>USER_SELECT</v>
      </c>
      <c r="F26" s="22" t="str">
        <v>COMPLETE</v>
      </c>
      <c r="G26" s="22" t="inlineStr">
        <is>
          <t>DELTA-CUT-WOOD-EV-V4</t>
        </is>
      </c>
    </row>
    <row r="27">
      <c r="A27" s="22" t="inlineStr">
        <is>
          <t>V5-CM-WOOD-Y</t>
        </is>
      </c>
      <c r="B27" s="22" t="inlineStr">
        <is>
          <t>cut_mall_window_frame_color</t>
        </is>
      </c>
      <c r="C27" s="22" t="inlineStr">
        <is>
          <t>Y</t>
        </is>
      </c>
      <c r="D27" s="22" t="inlineStr">
        <is>
          <t>プレシャスホワイト</t>
        </is>
      </c>
      <c r="E27" s="22" t="str">
        <v>USER_SELECT</v>
      </c>
      <c r="F27" s="22" t="str">
        <v>COMPLETE</v>
      </c>
      <c r="G27" s="22" t="inlineStr">
        <is>
          <t>DELTA-CUT-WOOD-EV-V4</t>
        </is>
      </c>
    </row>
    <row r="28">
      <c r="A28" s="22" t="inlineStr">
        <is>
          <t>V5-CM-WOOD-AD</t>
        </is>
      </c>
      <c r="B28" s="22" t="inlineStr">
        <is>
          <t>cut_mall_window_frame_color</t>
        </is>
      </c>
      <c r="C28" s="22" t="inlineStr">
        <is>
          <t>AD</t>
        </is>
      </c>
      <c r="D28" s="22" t="inlineStr">
        <is>
          <t>クリエチェリー</t>
        </is>
      </c>
      <c r="E28" s="22" t="str">
        <v>USER_SELECT</v>
      </c>
      <c r="F28" s="22" t="str">
        <v>COMPLETE</v>
      </c>
      <c r="G28" s="22" t="inlineStr">
        <is>
          <t>DELTA-CUT-WOOD-EV-V4</t>
        </is>
      </c>
    </row>
    <row r="29">
      <c r="A29" s="22" t="inlineStr">
        <is>
          <t>V5-CM-WOOD-AC</t>
        </is>
      </c>
      <c r="B29" s="22" t="inlineStr">
        <is>
          <t>cut_mall_window_frame_color</t>
        </is>
      </c>
      <c r="C29" s="22" t="inlineStr">
        <is>
          <t>AC</t>
        </is>
      </c>
      <c r="D29" s="22" t="inlineStr">
        <is>
          <t>クリエオーク</t>
        </is>
      </c>
      <c r="E29" s="22" t="str">
        <v>USER_SELECT</v>
      </c>
      <c r="F29" s="22" t="str">
        <v>COMPLETE</v>
      </c>
      <c r="G29" s="22" t="inlineStr">
        <is>
          <t>DELTA-CUT-WOOD-EV-V4</t>
        </is>
      </c>
    </row>
    <row r="30">
      <c r="A30" s="22" t="inlineStr">
        <is>
          <t>V5-CM-WOOD-WA</t>
        </is>
      </c>
      <c r="B30" s="22" t="inlineStr">
        <is>
          <t>cut_mall_window_frame_color</t>
        </is>
      </c>
      <c r="C30" s="22" t="inlineStr">
        <is>
          <t>WA</t>
        </is>
      </c>
      <c r="D30" s="22" t="inlineStr">
        <is>
          <t>クリエアイボリー</t>
        </is>
      </c>
      <c r="E30" s="22" t="str">
        <v>USER_SELECT</v>
      </c>
      <c r="F30" s="22" t="str">
        <v>COMPLETE</v>
      </c>
      <c r="G30" s="22" t="inlineStr">
        <is>
          <t>DELTA-CUT-WOOD-EV-V4</t>
        </is>
      </c>
    </row>
    <row r="31">
      <c r="A31" s="22"/>
      <c r="B31" s="22"/>
      <c r="C31" s="22"/>
      <c r="D31" s="22"/>
      <c r="E31" s="22"/>
      <c r="F31" s="22"/>
      <c r="G31" s="22"/>
    </row>
    <row r="32">
      <c r="A32" s="22"/>
      <c r="B32" s="22"/>
      <c r="C32" s="22"/>
      <c r="D32" s="22"/>
      <c r="E32" s="22"/>
      <c r="F32" s="22"/>
      <c r="G32" s="22"/>
    </row>
  </sheetData>
  <mergeCells>
    <mergeCell ref="A1:G1"/>
  </mergeCells>
  <pageMargins left="0.7" right="0.7" top="0.75" bottom="0.75" header="0.3" footer="0.3"/>
</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66" hidden="0" customWidth="1"/>
    <x:col min="4" max="4" width="24" hidden="0" customWidth="1"/>
    <x:col min="5" max="5" width="18" hidden="0" customWidth="1"/>
    <x:col min="6" max="6" width="24" hidden="0" customWidth="1"/>
  </x:cols>
  <x:sheetData>
    <x:row r="1">
      <x:c r="A1" s="4" t="str">
        <x:v>07_網戸参照</x:v>
      </x:c>
      <x:c r="B1" s="4"/>
      <x:c r="C1" s="4"/>
      <x:c r="D1" s="4"/>
      <x:c r="E1" s="4"/>
      <x:c r="F1" s="4"/>
    </x:row>
    <x:row r="2">
      <x:c r="A2" s="17" t="str">
        <x:v>rule_id</x:v>
      </x:c>
      <x:c r="B2" s="17" t="str">
        <x:v>scope</x:v>
      </x:c>
      <x:c r="C2" s="17" t="str">
        <x:v>rule</x:v>
      </x:c>
      <x:c r="D2" s="17" t="str">
        <x:v>action</x:v>
      </x:c>
      <x:c r="E2" s="17" t="str">
        <x:v>status</x:v>
      </x:c>
      <x:c r="F2" s="17" t="str">
        <x:v>evidence</x:v>
      </x:c>
    </x:row>
    <x:row r="3">
      <x:c r="A3" s="22" t="str">
        <x:v>CM-SCREEN-01</x:v>
      </x:c>
      <x:c r="B3" s="22" t="str">
        <x:v>ALL</x:v>
      </x:c>
      <x:c r="C3" s="22" t="str">
        <x:v>参照商品正本のscreen rule</x:v>
      </x:c>
      <x:c r="D3" s="22" t="str">
        <x:v>REFERENCE_ONLY</x:v>
      </x:c>
      <x:c r="E3" s="22" t="str">
        <x:v>COMPLETE</x:v>
      </x:c>
      <x:c r="F3" s="22" t="str">
        <x:v>CM-EV-003～006</x:v>
      </x:c>
    </x:row>
    <x:row r="4">
      <x:c r="A4" s="22" t="str">
        <x:v>CM-SCREEN-02</x:v>
      </x:c>
      <x:c r="B4" s="22" t="str">
        <x:v>frame_mounted_grille_conflict</x:v>
      </x:c>
      <x:c r="C4" s="22" t="str">
        <x:v>CUT-MALL固有干渉だけローカル制限</x:v>
      </x:c>
      <x:c r="D4" s="22" t="str">
        <x:v>HIDE</x:v>
      </x:c>
      <x:c r="E4" s="22" t="str">
        <x:v>COMPLETE</x:v>
      </x:c>
      <x:c r="F4" s="22" t="str">
        <x:v>CM-EV-013</x:v>
      </x:c>
    </x:row>
  </x:sheetData>
  <x:mergeCells>
    <x:mergeCell ref="A1:F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66" hidden="0" customWidth="1"/>
    <x:col min="4" max="4" width="24" hidden="0" customWidth="1"/>
    <x:col min="5" max="5" width="32" hidden="0" customWidth="1"/>
    <x:col min="6" max="6" width="24" hidden="0" customWidth="1"/>
  </x:cols>
  <x:sheetData>
    <x:row r="1">
      <x:c r="A1" s="4" t="str">
        <x:v>08_ガラス参照</x:v>
      </x:c>
      <x:c r="B1" s="4"/>
      <x:c r="C1" s="4"/>
      <x:c r="D1" s="4"/>
      <x:c r="E1" s="4"/>
      <x:c r="F1" s="4"/>
    </x:row>
    <x:row r="2">
      <x:c r="A2" s="17" t="str">
        <x:v>rule_id</x:v>
      </x:c>
      <x:c r="B2" s="17" t="str">
        <x:v>scope</x:v>
      </x:c>
      <x:c r="C2" s="17" t="str">
        <x:v>rule</x:v>
      </x:c>
      <x:c r="D2" s="17" t="str">
        <x:v>action</x:v>
      </x:c>
      <x:c r="E2" s="17" t="str">
        <x:v>status</x:v>
      </x:c>
      <x:c r="F2" s="17" t="str">
        <x:v>evidence</x:v>
      </x:c>
    </x:row>
    <x:row r="3">
      <x:c r="A3" s="22" t="str">
        <x:v>CM-GLASS-01</x:v>
      </x:c>
      <x:c r="B3" s="22" t="str">
        <x:v>ALL</x:v>
      </x:c>
      <x:c r="C3" s="22" t="str">
        <x:v>参照商品正本のglass rule</x:v>
      </x:c>
      <x:c r="D3" s="22" t="str">
        <x:v>REFERENCE_ONLY</x:v>
      </x:c>
      <x:c r="E3" s="22" t="str">
        <x:v>COMPLETE</x:v>
      </x:c>
      <x:c r="F3" s="22" t="str">
        <x:v>CM-EV-003～006</x:v>
      </x:c>
    </x:row>
    <x:row r="4">
      <x:c r="A4" s="22" t="str">
        <x:v>CM-GLASS-02</x:v>
      </x:c>
      <x:c r="B4" s="22" t="str">
        <x:v>wind/area/weight</x:v>
      </x:c>
      <x:c r="C4" s="22" t="str">
        <x:v>特殊性能境界</x:v>
      </x:c>
      <x:c r="D4" s="22" t="str">
        <x:v>EXTERNAL_CHECK</x:v>
      </x:c>
      <x:c r="E4" s="22" t="str">
        <x:v>COMPLETE_WITH_EXTERNAL_CHECK</x:v>
      </x:c>
      <x:c r="F4" s="22" t="str">
        <x:v>CM-EV-001</x:v>
      </x:c>
    </x:row>
  </x:sheetData>
  <x:mergeCells>
    <x:mergeCell ref="A1:F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26" hidden="0" customWidth="1"/>
    <x:col min="4" max="4" width="44" hidden="0" customWidth="1"/>
    <x:col min="5" max="5" width="28" hidden="0" customWidth="1"/>
    <x:col min="6" max="6" width="18" hidden="0" customWidth="1"/>
    <x:col min="7" max="7" width="24" hidden="0" customWidth="1"/>
  </x:cols>
  <x:sheetData>
    <x:row r="1">
      <x:c r="A1" s="4" t="str">
        <x:v>09_施工部材｜RPL_CUT_MALL固有</x:v>
      </x:c>
      <x:c r="B1" s="4"/>
      <x:c r="C1" s="4"/>
      <x:c r="D1" s="4"/>
      <x:c r="E1" s="4"/>
      <x:c r="F1" s="4"/>
      <x:c r="G1" s="4"/>
    </x:row>
    <x:row r="2">
      <x:c r="A2" s="17" t="str">
        <x:v>part_id</x:v>
      </x:c>
      <x:c r="B2" s="17" t="str">
        <x:v>part_name</x:v>
      </x:c>
      <x:c r="C2" s="17" t="str">
        <x:v>role</x:v>
      </x:c>
      <x:c r="D2" s="17" t="str">
        <x:v>condition</x:v>
      </x:c>
      <x:c r="E2" s="17" t="str">
        <x:v>resolution</x:v>
      </x:c>
      <x:c r="F2" s="17" t="str">
        <x:v>status</x:v>
      </x:c>
      <x:c r="G2" s="17" t="str">
        <x:v>evidence</x:v>
      </x:c>
    </x:row>
    <x:row r="3">
      <x:c r="A3" s="22" t="str">
        <x:v>CM-PART-MALL</x:v>
      </x:c>
      <x:c r="B3" s="22" t="str">
        <x:v>汎用カットモール</x:v>
      </x:c>
      <x:c r="C3" s="22" t="str">
        <x:v>SYSTEM_REQUIRED</x:v>
      </x:c>
      <x:c r="D3" s="22" t="str">
        <x:v>ALL</x:v>
      </x:c>
      <x:c r="E3" s="22" t="str">
        <x:v>外周仕上げ材</x:v>
      </x:c>
      <x:c r="F3" s="22" t="str">
        <x:v>COMPLETE</x:v>
      </x:c>
      <x:c r="G3" s="22" t="str">
        <x:v>CM-EV-002,007</x:v>
      </x:c>
    </x:row>
    <x:row r="4">
      <x:c r="A4" s="22" t="str">
        <x:v>CM-PART-TAPE</x:v>
      </x:c>
      <x:c r="B4" s="22" t="str">
        <x:v>アルミ箔付防水テープ</x:v>
      </x:c>
      <x:c r="C4" s="22" t="str">
        <x:v>SYSTEM_REQUIRED</x:v>
      </x:c>
      <x:c r="D4" s="22" t="str">
        <x:v>ALL</x:v>
      </x:c>
      <x:c r="E4" s="22" t="str">
        <x:v>止水部材</x:v>
      </x:c>
      <x:c r="F4" s="22" t="str">
        <x:v>COMPLETE</x:v>
      </x:c>
      <x:c r="G4" s="22" t="str">
        <x:v>CM-EV-007,008</x:v>
      </x:c>
    </x:row>
    <x:row r="5">
      <x:c r="A5" s="22" t="str">
        <x:v>CM-PART-DRYSEAL</x:v>
      </x:c>
      <x:c r="B5" s="22" t="str">
        <x:v>乾式シーリング材</x:v>
      </x:c>
      <x:c r="C5" s="22" t="str">
        <x:v>CONDITIONAL_REQUIRED</x:v>
      </x:c>
      <x:c r="D5" s="22" t="str">
        <x:v>一次止水=乾式</x:v>
      </x:c>
      <x:c r="E5" s="22" t="str">
        <x:v>AUTO_RESOLVED</x:v>
      </x:c>
      <x:c r="F5" s="22" t="str">
        <x:v>COMPLETE</x:v>
      </x:c>
      <x:c r="G5" s="22" t="str">
        <x:v>CM-EV-007</x:v>
      </x:c>
    </x:row>
    <x:row r="6">
      <x:c r="A6" s="22" t="str">
        <x:v>CM-PART-SEAL</x:v>
      </x:c>
      <x:c r="B6" s="22" t="str">
        <x:v>シーリング</x:v>
      </x:c>
      <x:c r="C6" s="22" t="str">
        <x:v>CONDITIONAL_REQUIRED</x:v>
      </x:c>
      <x:c r="D6" s="22" t="str">
        <x:v>一次止水=シーリング</x:v>
      </x:c>
      <x:c r="E6" s="22" t="str">
        <x:v>AUTO_RESOLVED</x:v>
      </x:c>
      <x:c r="F6" s="22" t="str">
        <x:v>COMPLETE</x:v>
      </x:c>
      <x:c r="G6" s="22" t="str">
        <x:v>CM-EV-007,008</x:v>
      </x:c>
    </x:row>
    <x:row r="7">
      <x:c r="A7" s="22" t="str">
        <x:v>CM-PART-ANGLE-COVER</x:v>
      </x:c>
      <x:c r="B7" s="22" t="str">
        <x:v>サーモス用アングルカバー</x:v>
      </x:c>
      <x:c r="C7" s="22" t="str">
        <x:v>CONDITIONAL_REQUIRED</x:v>
      </x:c>
      <x:c r="D7" s="22" t="str">
        <x:v>サーモス系+対象内装納まり</x:v>
      </x:c>
      <x:c r="E7" s="22" t="str">
        <x:v>AUTO_RESOLVED</x:v>
      </x:c>
      <x:c r="F7" s="22" t="str">
        <x:v>COMPLETE</x:v>
      </x:c>
      <x:c r="G7" s="22" t="str">
        <x:v>CM-EV-014</x:v>
      </x:c>
    </x:row>
    <x:row r="8">
      <x:c r="A8" s="22" t="str">
        <x:v>CM-PART-ADJ-ANGLE</x:v>
      </x:c>
      <x:c r="B8" s="22" t="str">
        <x:v>内装調整アングル</x:v>
      </x:c>
      <x:c r="C8" s="22" t="str">
        <x:v>CONDITIONAL_REQUIRED</x:v>
      </x:c>
      <x:c r="D8" s="22" t="str">
        <x:v>対象内装納まり</x:v>
      </x:c>
      <x:c r="E8" s="22" t="str">
        <x:v>AUTO_RESOLVED</x:v>
      </x:c>
      <x:c r="F8" s="22" t="str">
        <x:v>COMPLETE</x:v>
      </x:c>
      <x:c r="G8" s="22" t="str">
        <x:v>CM-EV-014</x:v>
      </x:c>
    </x:row>
    <x:row r="9">
      <x:c r="A9" s="22" t="str">
        <x:v>CM-PART-WINFRAME</x:v>
      </x:c>
      <x:c r="B9" s="22" t="str">
        <x:v>カットモール用窓枠</x:v>
      </x:c>
      <x:c r="C9" s="22" t="str">
        <x:v>CONDITIONAL_REQUIRED</x:v>
      </x:c>
      <x:c r="D9" s="22" t="str">
        <x:v>対象内装納まり</x:v>
      </x:c>
      <x:c r="E9" s="22" t="str">
        <x:v>AUTO_RESOLVED</x:v>
      </x:c>
      <x:c r="F9" s="22" t="str">
        <x:v>COMPLETE</x:v>
      </x:c>
      <x:c r="G9" s="22" t="str">
        <x:v>CM-EV-014</x:v>
      </x:c>
    </x:row>
  </x:sheetData>
  <x:mergeCells>
    <x:mergeCell ref="A1:G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6" hidden="0" customWidth="1"/>
    <x:col min="3" max="3" width="30" hidden="0" customWidth="1"/>
    <x:col min="4" max="4" width="34" hidden="0" customWidth="1"/>
    <x:col min="5" max="5" width="18" hidden="0" customWidth="1"/>
    <x:col min="6" max="6" width="24" hidden="0" customWidth="1"/>
  </x:cols>
  <x:sheetData>
    <x:row r="1">
      <x:c r="A1" s="4" t="str">
        <x:v>09A_OP依存関係</x:v>
      </x:c>
      <x:c r="B1" s="4"/>
      <x:c r="C1" s="4"/>
      <x:c r="D1" s="4"/>
      <x:c r="E1" s="4"/>
      <x:c r="F1" s="4"/>
    </x:row>
    <x:row r="2">
      <x:c r="A2" s="17" t="str">
        <x:v>rule_id</x:v>
      </x:c>
      <x:c r="B2" s="17" t="str">
        <x:v>condition</x:v>
      </x:c>
      <x:c r="C2" s="17" t="str">
        <x:v>target</x:v>
      </x:c>
      <x:c r="D2" s="17" t="str">
        <x:v>result</x:v>
      </x:c>
      <x:c r="E2" s="17" t="str">
        <x:v>status</x:v>
      </x:c>
      <x:c r="F2" s="17" t="str">
        <x:v>evidence</x:v>
      </x:c>
    </x:row>
    <x:row r="3">
      <x:c r="A3" s="22" t="str">
        <x:v>CM-DEP-01</x:v>
      </x:c>
      <x:c r="B3" s="22" t="str">
        <x:v>building_structure != 木造</x:v>
      </x:c>
      <x:c r="C3" s="22" t="str">
        <x:v>RPL_CUT_MALL</x:v>
      </x:c>
      <x:c r="D3" s="22" t="str">
        <x:v>HIDE</x:v>
      </x:c>
      <x:c r="E3" s="22" t="str">
        <x:v>COMPLETE</x:v>
      </x:c>
      <x:c r="F3" s="22" t="str">
        <x:v>CM-EV-011</x:v>
      </x:c>
    </x:row>
    <x:row r="4">
      <x:c r="A4" s="22" t="str">
        <x:v>CM-DEP-02</x:v>
      </x:c>
      <x:c r="B4" s="22" t="str">
        <x:v>floor_detail = 土間納まり</x:v>
      </x:c>
      <x:c r="C4" s="22" t="str">
        <x:v>RPL_CUT_MALL</x:v>
      </x:c>
      <x:c r="D4" s="22" t="str">
        <x:v>HIDE</x:v>
      </x:c>
      <x:c r="E4" s="22" t="str">
        <x:v>COMPLETE</x:v>
      </x:c>
      <x:c r="F4" s="22" t="str">
        <x:v>CM-EV-011</x:v>
      </x:c>
    </x:row>
    <x:row r="5">
      <x:c r="A5" s="22" t="str">
        <x:v>CM-DEP-03</x:v>
      </x:c>
      <x:c r="B5" s="22" t="str">
        <x:v>new_sash_size_relation = smaller</x:v>
      </x:c>
      <x:c r="C5" s="22" t="str">
        <x:v>candidate</x:v>
      </x:c>
      <x:c r="D5" s="22" t="str">
        <x:v>REJECT</x:v>
      </x:c>
      <x:c r="E5" s="22" t="str">
        <x:v>COMPLETE</x:v>
      </x:c>
      <x:c r="F5" s="22" t="str">
        <x:v>CM-EV-013</x:v>
      </x:c>
    </x:row>
    <x:row r="6">
      <x:c r="A6" s="22" t="str">
        <x:v>CM-DEP-04</x:v>
      </x:c>
      <x:c r="B6" s="22" t="str">
        <x:v>new_sash_option = 枠付面格子</x:v>
      </x:c>
      <x:c r="C6" s="22" t="str">
        <x:v>option</x:v>
      </x:c>
      <x:c r="D6" s="22" t="str">
        <x:v>HIDE</x:v>
      </x:c>
      <x:c r="E6" s="22" t="str">
        <x:v>COMPLETE</x:v>
      </x:c>
      <x:c r="F6" s="22" t="str">
        <x:v>CM-EV-013</x:v>
      </x:c>
    </x:row>
    <x:row r="7">
      <x:c r="A7" s="22" t="str">
        <x:v>CM-DEP-05</x:v>
      </x:c>
      <x:c r="B7" s="22" t="str">
        <x:v>existing=shutter</x:v>
      </x:c>
      <x:c r="C7" s="22" t="str">
        <x:v>new_window</x:v>
      </x:c>
      <x:c r="D7" s="22" t="str">
        <x:v>allow_only SHUTTER</x:v>
      </x:c>
      <x:c r="E7" s="22" t="str">
        <x:v>COMPLETE</x:v>
      </x:c>
      <x:c r="F7" s="22" t="str">
        <x:v>CM-EV-002</x:v>
      </x:c>
    </x:row>
    <x:row r="8">
      <x:c r="A8" s="22" t="str">
        <x:v>CM-DEP-06</x:v>
      </x:c>
      <x:c r="B8" s="22" t="str">
        <x:v>existing=amado</x:v>
      </x:c>
      <x:c r="C8" s="22" t="str">
        <x:v>new_window</x:v>
      </x:c>
      <x:c r="D8" s="22" t="str">
        <x:v>allow_only AMADO</x:v>
      </x:c>
      <x:c r="E8" s="22" t="str">
        <x:v>COMPLETE</x:v>
      </x:c>
      <x:c r="F8" s="22" t="str">
        <x:v>CM-EV-002</x:v>
      </x:c>
    </x:row>
    <x:row r="9">
      <x:c r="A9" s="22" t="str">
        <x:v>CM-DEP-07</x:v>
      </x:c>
      <x:c r="B9" s="22" t="str">
        <x:v>primary_seal=dry</x:v>
      </x:c>
      <x:c r="C9" s="22" t="str">
        <x:v>CM-PART-DRYSEAL</x:v>
      </x:c>
      <x:c r="D9" s="22" t="str">
        <x:v>AUTO_RESOLVED</x:v>
      </x:c>
      <x:c r="E9" s="22" t="str">
        <x:v>COMPLETE</x:v>
      </x:c>
      <x:c r="F9" s="22" t="str">
        <x:v>CM-EV-007</x:v>
      </x:c>
    </x:row>
    <x:row r="10">
      <x:c r="A10" s="22" t="str">
        <x:v>CM-DEP-08</x:v>
      </x:c>
      <x:c r="B10" s="22" t="str">
        <x:v>primary_seal=sealant</x:v>
      </x:c>
      <x:c r="C10" s="22" t="str">
        <x:v>CM-PART-SEAL</x:v>
      </x:c>
      <x:c r="D10" s="22" t="str">
        <x:v>AUTO_RESOLVED</x:v>
      </x:c>
      <x:c r="E10" s="22" t="str">
        <x:v>COMPLETE</x:v>
      </x:c>
      <x:c r="F10" s="22" t="str">
        <x:v>CM-EV-008</x:v>
      </x:c>
    </x:row>
  </x:sheetData>
  <x:mergeCells>
    <x:mergeCell ref="A1:F1"/>
  </x:mergeCells>
  <x:pageMargins left="0.7" right="0.7" top="0.75" bottom="0.75" header="0.3" footer="0.3"/>
</x:worksheet>
</file>

<file path=xl/worksheets/sheet18.xml><?xml version="1.0" encoding="utf-8"?>
<worksheet xmlns="http://schemas.openxmlformats.org/spreadsheetml/2006/main">
  <sheetFormatPr defaultRowHeight="15"/>
  <cols>
    <col min="1" max="1" width="24" hidden="0" customWidth="1"/>
    <col min="2" max="2" width="32" hidden="0" customWidth="1"/>
    <col min="3" max="3" width="34" hidden="0" customWidth="1"/>
    <col min="4" max="4" width="24" hidden="0" customWidth="1"/>
    <col min="5" max="5" width="30" hidden="0" customWidth="1"/>
    <col min="6" max="6" width="18" hidden="0" customWidth="1"/>
    <col min="7" max="7" width="24" hidden="0" customWidth="1"/>
  </cols>
  <sheetData>
    <row r="1">
      <c r="A1" s="4" t="str">
        <v>10_適用条件</v>
      </c>
      <c r="B1" s="4"/>
      <c r="C1" s="4"/>
      <c r="D1" s="4"/>
      <c r="E1" s="4"/>
      <c r="F1" s="4"/>
      <c r="G1" s="4"/>
    </row>
    <row r="2">
      <c r="A2" s="17" t="str">
        <v>rule_id</v>
      </c>
      <c r="B2" s="17" t="str">
        <v>condition_type</v>
      </c>
      <c r="C2" s="17" t="str">
        <v>value</v>
      </c>
      <c r="D2" s="17" t="str">
        <v>result</v>
      </c>
      <c r="E2" s="17" t="str">
        <v>action</v>
      </c>
      <c r="F2" s="17" t="str">
        <v>status</v>
      </c>
      <c r="G2" s="17" t="str">
        <v>evidence</v>
      </c>
    </row>
    <row r="3">
      <c r="A3" s="22" t="str">
        <v>CM-AP-STRUCT-WOOD</v>
      </c>
      <c r="B3" s="22" t="str">
        <v>building_structure</v>
      </c>
      <c r="C3" s="22" t="str">
        <v>木造</v>
      </c>
      <c r="D3" s="22" t="str">
        <v>AVAILABLE</v>
      </c>
      <c r="E3" s="22" t="str">
        <v>SHOW</v>
      </c>
      <c r="F3" s="22" t="str">
        <v>COMPLETE</v>
      </c>
      <c r="G3" s="22" t="str">
        <v>CM-EV-011</v>
      </c>
    </row>
    <row r="4">
      <c r="A4" s="22" t="str">
        <v>CM-AP-STRUCT-RC</v>
      </c>
      <c r="B4" s="22" t="str">
        <v>building_structure</v>
      </c>
      <c r="C4" s="22" t="str">
        <v>RC</v>
      </c>
      <c r="D4" s="22" t="str">
        <v>UNAVAILABLE</v>
      </c>
      <c r="E4" s="22" t="str">
        <v>HIDE</v>
      </c>
      <c r="F4" s="22" t="str">
        <v>COMPLETE</v>
      </c>
      <c r="G4" s="22" t="str">
        <v>CM-EV-011</v>
      </c>
    </row>
    <row r="5">
      <c r="A5" s="22" t="str">
        <v>CM-AP-STRUCT-ALC</v>
      </c>
      <c r="B5" s="22" t="str">
        <v>building_structure</v>
      </c>
      <c r="C5" s="22" t="str">
        <v>ALC</v>
      </c>
      <c r="D5" s="22" t="str">
        <v>UNAVAILABLE</v>
      </c>
      <c r="E5" s="22" t="str">
        <v>HIDE</v>
      </c>
      <c r="F5" s="22" t="str">
        <v>COMPLETE</v>
      </c>
      <c r="G5" s="22" t="str">
        <v>CM-EV-011</v>
      </c>
    </row>
    <row r="6">
      <c r="A6" s="22" t="str">
        <v>CM-AP-STRUCT-STEEL</v>
      </c>
      <c r="B6" s="22" t="str">
        <v>building_structure</v>
      </c>
      <c r="C6" s="22" t="str">
        <v>鉄骨</v>
      </c>
      <c r="D6" s="22" t="str">
        <v>UNAVAILABLE</v>
      </c>
      <c r="E6" s="22" t="str">
        <v>HIDE</v>
      </c>
      <c r="F6" s="22" t="str">
        <v>COMPLETE</v>
      </c>
      <c r="G6" s="22" t="str">
        <v>CM-EV-011</v>
      </c>
    </row>
    <row r="7">
      <c r="A7" s="22" t="str">
        <v>CM-AP-DOMA</v>
      </c>
      <c r="B7" s="22" t="str">
        <v>floor_detail</v>
      </c>
      <c r="C7" s="22" t="str">
        <v>土間納まり</v>
      </c>
      <c r="D7" s="22" t="str">
        <v>UNAVAILABLE</v>
      </c>
      <c r="E7" s="22" t="str">
        <v>HIDE</v>
      </c>
      <c r="F7" s="22" t="str">
        <v>COMPLETE</v>
      </c>
      <c r="G7" s="22" t="str">
        <v>CM-EV-011</v>
      </c>
    </row>
    <row r="8">
      <c r="A8" s="22" t="str">
        <v>CM-AP-EXTERNAL</v>
      </c>
      <c r="B8" s="22" t="str">
        <v>existing_sash_mount</v>
      </c>
      <c r="C8" s="22" t="str">
        <v>外付サッシ</v>
      </c>
      <c r="D8" s="22" t="inlineStr">
        <is>
          <t>MANUAL_CHECK</t>
        </is>
      </c>
      <c r="E8" s="22" t="inlineStr">
        <is>
          <t>外付新設必須・条件付き確認</t>
        </is>
      </c>
      <c r="F8" s="22" t="inlineStr">
        <is>
          <t>COMPLETE_WITH_EXTERNAL_CHECK</t>
        </is>
      </c>
      <c r="G8" s="22" t="inlineStr">
        <is>
          <t>CM-EV-012;EV-V5-CUT-EXTERNAL</t>
        </is>
      </c>
    </row>
    <row r="9">
      <c r="A9" s="22" t="str">
        <v>CM-AP-SAME</v>
      </c>
      <c r="B9" s="22" t="str">
        <v>new_sash_size_relation</v>
      </c>
      <c r="C9" s="22" t="str">
        <v>既設と同寸</v>
      </c>
      <c r="D9" s="22" t="str">
        <v>AVAILABLE</v>
      </c>
      <c r="E9" s="22" t="str">
        <v>SHOW</v>
      </c>
      <c r="F9" s="22" t="str">
        <v>COMPLETE</v>
      </c>
      <c r="G9" s="22" t="str">
        <v>CM-EV-013</v>
      </c>
    </row>
    <row r="10">
      <c r="A10" s="22" t="str">
        <v>CM-AP-LARGER</v>
      </c>
      <c r="B10" s="22" t="str">
        <v>new_sash_size_relation</v>
      </c>
      <c r="C10" s="22" t="str">
        <v>既設より大きい</v>
      </c>
      <c r="D10" s="22" t="str">
        <v>CONDITIONAL</v>
      </c>
      <c r="E10" s="22" t="str">
        <v>開口拡大工事必須</v>
      </c>
      <c r="F10" s="22" t="str">
        <v>COMPLETE</v>
      </c>
      <c r="G10" s="22" t="str">
        <v>CM-EV-013</v>
      </c>
    </row>
    <row r="11">
      <c r="A11" s="22" t="str">
        <v>CM-AP-SMALLER</v>
      </c>
      <c r="B11" s="22" t="str">
        <v>new_sash_size_relation</v>
      </c>
      <c r="C11" s="22" t="str">
        <v>既設より小さい</v>
      </c>
      <c r="D11" s="22" t="str">
        <v>UNAVAILABLE</v>
      </c>
      <c r="E11" s="22" t="str">
        <v>HIDE</v>
      </c>
      <c r="F11" s="22" t="str">
        <v>COMPLETE</v>
      </c>
      <c r="G11" s="22" t="str">
        <v>CM-EV-013</v>
      </c>
    </row>
    <row r="12">
      <c r="A12" s="22" t="str">
        <v>CM-AP-FRAME-GRILLE</v>
      </c>
      <c r="B12" s="22" t="str">
        <v>new_sash_option</v>
      </c>
      <c r="C12" s="22" t="str">
        <v>枠付面格子</v>
      </c>
      <c r="D12" s="22" t="str">
        <v>UNAVAILABLE</v>
      </c>
      <c r="E12" s="22" t="str">
        <v>HIDE</v>
      </c>
      <c r="F12" s="22" t="str">
        <v>COMPLETE</v>
      </c>
      <c r="G12" s="22" t="str">
        <v>CM-EV-013</v>
      </c>
    </row>
    <row r="13">
      <c r="A13" s="22" t="str">
        <v>CM-AP-WALLCUT</v>
      </c>
      <c r="B13" s="22" t="str">
        <v>wall_cut_position_mm</v>
      </c>
      <c r="C13" s="22" t="str">
        <v>75以上</v>
      </c>
      <c r="D13" s="22" t="str">
        <v>UNAVAILABLE</v>
      </c>
      <c r="E13" s="22" t="str">
        <v>REJECT</v>
      </c>
      <c r="F13" s="22" t="str">
        <v>COMPLETE</v>
      </c>
      <c r="G13" s="22" t="str">
        <v>CM-EV-011</v>
      </c>
    </row>
    <row r="14">
      <c r="A14" s="22" t="str">
        <v>CM-AP-SHUT-SAME</v>
      </c>
      <c r="B14" s="22" t="str">
        <v>existing_window_type</v>
      </c>
      <c r="C14" s="22" t="str">
        <v>既設シャッター付</v>
      </c>
      <c r="D14" s="22" t="str">
        <v>SAME_TYPE_ONLY</v>
      </c>
      <c r="E14" s="22" t="str">
        <v>新設もシャッター付のみ</v>
      </c>
      <c r="F14" s="22" t="str">
        <v>COMPLETE</v>
      </c>
      <c r="G14" s="22" t="str">
        <v>CM-EV-002</v>
      </c>
    </row>
    <row r="15">
      <c r="A15" s="22" t="str">
        <v>CM-AP-AMADO-SAME</v>
      </c>
      <c r="B15" s="22" t="str">
        <v>existing_window_type</v>
      </c>
      <c r="C15" s="22" t="str">
        <v>既設雨戸付</v>
      </c>
      <c r="D15" s="22" t="str">
        <v>SAME_TYPE_ONLY</v>
      </c>
      <c r="E15" s="22" t="str">
        <v>新設も雨戸付のみ</v>
      </c>
      <c r="F15" s="22" t="str">
        <v>COMPLETE</v>
      </c>
      <c r="G15" s="22" t="str">
        <v>CM-EV-002</v>
      </c>
    </row>
  </sheetData>
  <mergeCells>
    <mergeCell ref="A1:G1"/>
  </mergeCells>
  <pageMargins left="0.7" right="0.7" top="0.75" bottom="0.75" header="0.3" footer="0.3"/>
</worksheet>
</file>

<file path=xl/worksheets/sheet1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30" hidden="0" customWidth="1"/>
    <x:col min="4" max="4" width="20" hidden="0" customWidth="1"/>
    <x:col min="5" max="5" width="36" hidden="0" customWidth="1"/>
    <x:col min="6" max="6" width="32" hidden="0" customWidth="1"/>
    <x:col min="7" max="7" width="24" hidden="0" customWidth="1"/>
  </x:cols>
  <x:sheetData>
    <x:row r="1">
      <x:c r="A1" s="4" t="str">
        <x:v>10B_現調項目</x:v>
      </x:c>
      <x:c r="B1" s="4"/>
      <x:c r="C1" s="4"/>
      <x:c r="D1" s="4"/>
      <x:c r="E1" s="4"/>
      <x:c r="F1" s="4"/>
      <x:c r="G1" s="4"/>
    </x:row>
    <x:row r="2">
      <x:c r="A2" s="17" t="str">
        <x:v>survey_id</x:v>
      </x:c>
      <x:c r="B2" s="17" t="str">
        <x:v>field</x:v>
      </x:c>
      <x:c r="C2" s="17" t="str">
        <x:v>display</x:v>
      </x:c>
      <x:c r="D2" s="17" t="str">
        <x:v>requirement</x:v>
      </x:c>
      <x:c r="E2" s="17" t="str">
        <x:v>validation</x:v>
      </x:c>
      <x:c r="F2" s="17" t="str">
        <x:v>status</x:v>
      </x:c>
      <x:c r="G2" s="17" t="str">
        <x:v>evidence</x:v>
      </x:c>
    </x:row>
    <x:row r="3">
      <x:c r="A3" s="22" t="str">
        <x:v>CM-SURVEY-01</x:v>
      </x:c>
      <x:c r="B3" s="22" t="str">
        <x:v>existing_sash_W/H</x:v>
      </x:c>
      <x:c r="C3" s="22" t="str">
        <x:v>既設サッシ寸法</x:v>
      </x:c>
      <x:c r="D3" s="22" t="str">
        <x:v>REQUIRED</x:v>
      </x:c>
      <x:c r="E3" s="22" t="str">
        <x:v>新設同寸基準</x:v>
      </x:c>
      <x:c r="F3" s="22" t="str">
        <x:v>COMPLETE</x:v>
      </x:c>
      <x:c r="G3" s="22" t="str">
        <x:v>CM-EV-013</x:v>
      </x:c>
    </x:row>
    <x:row r="4">
      <x:c r="A4" s="22" t="str">
        <x:v>CM-SURVEY-02</x:v>
      </x:c>
      <x:c r="B4" s="22" t="str">
        <x:v>work_space_a_mm</x:v>
      </x:c>
      <x:c r="C4" s="22" t="str">
        <x:v>周辺スペースa</x:v>
      </x:c>
      <x:c r="D4" s="22" t="str">
        <x:v>REQUIRED</x:v>
      </x:c>
      <x:c r="E4" s="22" t="str">
        <x:v>&gt;=125</x:v>
      </x:c>
      <x:c r="F4" s="22" t="str">
        <x:v>COMPLETE</x:v>
      </x:c>
      <x:c r="G4" s="22" t="str">
        <x:v>CM-EV-011</x:v>
      </x:c>
    </x:row>
    <x:row r="5">
      <x:c r="A5" s="22" t="str">
        <x:v>CM-SURVEY-03</x:v>
      </x:c>
      <x:c r="B5" s="22" t="str">
        <x:v>work_space_b_mm</x:v>
      </x:c>
      <x:c r="C5" s="22" t="str">
        <x:v>周辺スペースb</x:v>
      </x:c>
      <x:c r="D5" s="22" t="str">
        <x:v>REQUIRED</x:v>
      </x:c>
      <x:c r="E5" s="22" t="str">
        <x:v>&gt;=125</x:v>
      </x:c>
      <x:c r="F5" s="22" t="str">
        <x:v>COMPLETE</x:v>
      </x:c>
      <x:c r="G5" s="22" t="str">
        <x:v>CM-EV-011</x:v>
      </x:c>
    </x:row>
    <x:row r="6">
      <x:c r="A6" s="22" t="str">
        <x:v>CM-SURVEY-04</x:v>
      </x:c>
      <x:c r="B6" s="22" t="str">
        <x:v>work_space_c_mm</x:v>
      </x:c>
      <x:c r="C6" s="22" t="str">
        <x:v>周辺スペースc</x:v>
      </x:c>
      <x:c r="D6" s="22" t="str">
        <x:v>REQUIRED</x:v>
      </x:c>
      <x:c r="E6" s="22" t="str">
        <x:v>&gt;=110</x:v>
      </x:c>
      <x:c r="F6" s="22" t="str">
        <x:v>COMPLETE</x:v>
      </x:c>
      <x:c r="G6" s="22" t="str">
        <x:v>CM-EV-011</x:v>
      </x:c>
    </x:row>
    <x:row r="7">
      <x:c r="A7" s="22" t="str">
        <x:v>CM-SURVEY-05</x:v>
      </x:c>
      <x:c r="B7" s="22" t="str">
        <x:v>wall_cut_position_mm</x:v>
      </x:c>
      <x:c r="C7" s="22" t="str">
        <x:v>壁切断位置</x:v>
      </x:c>
      <x:c r="D7" s="22" t="str">
        <x:v>REQUIRED</x:v>
      </x:c>
      <x:c r="E7" s="22" t="str">
        <x:v>&lt;75</x:v>
      </x:c>
      <x:c r="F7" s="22" t="str">
        <x:v>COMPLETE</x:v>
      </x:c>
      <x:c r="G7" s="22" t="str">
        <x:v>CM-EV-011</x:v>
      </x:c>
    </x:row>
    <x:row r="8">
      <x:c r="A8" s="22" t="str">
        <x:v>CM-SURVEY-06</x:v>
      </x:c>
      <x:c r="B8" s="22" t="str">
        <x:v>building_structure</x:v>
      </x:c>
      <x:c r="C8" s="22" t="str">
        <x:v>建物構造</x:v>
      </x:c>
      <x:c r="D8" s="22" t="str">
        <x:v>REQUIRED</x:v>
      </x:c>
      <x:c r="E8" s="22" t="str">
        <x:v>木造のみ</x:v>
      </x:c>
      <x:c r="F8" s="22" t="str">
        <x:v>COMPLETE</x:v>
      </x:c>
      <x:c r="G8" s="22" t="str">
        <x:v>CM-EV-011</x:v>
      </x:c>
    </x:row>
    <x:row r="9">
      <x:c r="A9" s="22" t="str">
        <x:v>CM-SURVEY-07</x:v>
      </x:c>
      <x:c r="B9" s="22" t="str">
        <x:v>floor_detail</x:v>
      </x:c>
      <x:c r="C9" s="22" t="str">
        <x:v>土間有無</x:v>
      </x:c>
      <x:c r="D9" s="22" t="str">
        <x:v>REQUIRED</x:v>
      </x:c>
      <x:c r="E9" s="22" t="str">
        <x:v>土間不可</x:v>
      </x:c>
      <x:c r="F9" s="22" t="str">
        <x:v>COMPLETE</x:v>
      </x:c>
      <x:c r="G9" s="22" t="str">
        <x:v>CM-EV-011</x:v>
      </x:c>
    </x:row>
    <x:row r="10">
      <x:c r="A10" s="22" t="str">
        <x:v>CM-SURVEY-08</x:v>
      </x:c>
      <x:c r="B10" s="22" t="str">
        <x:v>wall_substrate</x:v>
      </x:c>
      <x:c r="C10" s="22" t="str">
        <x:v>壁裏固定下地</x:v>
      </x:c>
      <x:c r="D10" s="22" t="str">
        <x:v>CONDITIONAL</x:v>
      </x:c>
      <x:c r="E10" s="22" t="str">
        <x:v>現場確認</x:v>
      </x:c>
      <x:c r="F10" s="22" t="str">
        <x:v>COMPLETE_WITH_EXTERNAL_CHECK</x:v>
      </x:c>
      <x:c r="G10" s="22" t="str">
        <x:v>CM-EV-011</x:v>
      </x:c>
    </x:row>
  </x:sheetData>
  <x:mergeCells>
    <x:mergeCell ref="A1:G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18" hidden="0" customWidth="1"/>
    <x:col min="4" max="4" width="14" hidden="0" customWidth="1"/>
    <x:col min="5" max="5" width="22" hidden="0" customWidth="1"/>
    <x:col min="6" max="6" width="18" hidden="0" customWidth="1"/>
    <x:col min="7" max="7" width="24" hidden="0" customWidth="1"/>
  </x:cols>
  <x:sheetData>
    <x:row r="1">
      <x:c r="A1" s="4" t="str">
        <x:v>10C_施工スペース</x:v>
      </x:c>
      <x:c r="B1" s="4"/>
      <x:c r="C1" s="4"/>
      <x:c r="D1" s="4"/>
      <x:c r="E1" s="4"/>
      <x:c r="F1" s="4"/>
      <x:c r="G1" s="4"/>
    </x:row>
    <x:row r="2">
      <x:c r="A2" s="17" t="str">
        <x:v>rule_id</x:v>
      </x:c>
      <x:c r="B2" s="17" t="str">
        <x:v>field</x:v>
      </x:c>
      <x:c r="C2" s="17" t="str">
        <x:v>threshold_mm</x:v>
      </x:c>
      <x:c r="D2" s="17" t="str">
        <x:v>operator</x:v>
      </x:c>
      <x:c r="E2" s="17" t="str">
        <x:v>result</x:v>
      </x:c>
      <x:c r="F2" s="17" t="str">
        <x:v>status</x:v>
      </x:c>
      <x:c r="G2" s="17" t="str">
        <x:v>evidence</x:v>
      </x:c>
    </x:row>
    <x:row r="3">
      <x:c r="A3" s="22" t="str">
        <x:v>CM-SP-01</x:v>
      </x:c>
      <x:c r="B3" s="22" t="str">
        <x:v>a</x:v>
      </x:c>
      <x:c r="C3" s="22" t="n">
        <x:v>125</x:v>
      </x:c>
      <x:c r="D3" s="22" t="str">
        <x:v>&gt;=</x:v>
      </x:c>
      <x:c r="E3" s="22" t="str">
        <x:v>AVAILABLE</x:v>
      </x:c>
      <x:c r="F3" s="22" t="str">
        <x:v>COMPLETE</x:v>
      </x:c>
      <x:c r="G3" s="22" t="str">
        <x:v>CM-EV-011</x:v>
      </x:c>
    </x:row>
    <x:row r="4">
      <x:c r="A4" s="22" t="str">
        <x:v>CM-SP-02</x:v>
      </x:c>
      <x:c r="B4" s="22" t="str">
        <x:v>b</x:v>
      </x:c>
      <x:c r="C4" s="22" t="n">
        <x:v>125</x:v>
      </x:c>
      <x:c r="D4" s="22" t="str">
        <x:v>&gt;=</x:v>
      </x:c>
      <x:c r="E4" s="22" t="str">
        <x:v>AVAILABLE</x:v>
      </x:c>
      <x:c r="F4" s="22" t="str">
        <x:v>COMPLETE</x:v>
      </x:c>
      <x:c r="G4" s="22" t="str">
        <x:v>CM-EV-011</x:v>
      </x:c>
    </x:row>
    <x:row r="5">
      <x:c r="A5" s="22" t="str">
        <x:v>CM-SP-03</x:v>
      </x:c>
      <x:c r="B5" s="22" t="str">
        <x:v>c</x:v>
      </x:c>
      <x:c r="C5" s="22" t="n">
        <x:v>110</x:v>
      </x:c>
      <x:c r="D5" s="22" t="str">
        <x:v>&gt;=</x:v>
      </x:c>
      <x:c r="E5" s="22" t="str">
        <x:v>AVAILABLE</x:v>
      </x:c>
      <x:c r="F5" s="22" t="str">
        <x:v>COMPLETE</x:v>
      </x:c>
      <x:c r="G5" s="22" t="str">
        <x:v>CM-EV-011</x:v>
      </x:c>
    </x:row>
    <x:row r="6">
      <x:c r="A6" s="22" t="str">
        <x:v>CM-SP-04</x:v>
      </x:c>
      <x:c r="B6" s="22" t="str">
        <x:v>wall_cut_position</x:v>
      </x:c>
      <x:c r="C6" s="22" t="n">
        <x:v>75</x:v>
      </x:c>
      <x:c r="D6" s="22" t="str">
        <x:v>&lt;</x:v>
      </x:c>
      <x:c r="E6" s="22" t="str">
        <x:v>AVAILABLE</x:v>
      </x:c>
      <x:c r="F6" s="22" t="str">
        <x:v>COMPLETE</x:v>
      </x:c>
      <x:c r="G6" s="22" t="str">
        <x:v>CM-EV-011</x:v>
      </x:c>
    </x:row>
  </x:sheetData>
  <x:mergeCells>
    <x:mergeCell ref="A1:G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42" hidden="0" customWidth="1"/>
    <x:col min="4" max="4" width="44" hidden="0" customWidth="1"/>
    <x:col min="5" max="5" width="32" hidden="0" customWidth="1"/>
    <x:col min="6" max="6" width="24" hidden="0" customWidth="1"/>
  </x:cols>
  <x:sheetData>
    <x:row r="1">
      <x:c r="A1" s="4" t="str">
        <x:v>10D_施工条件</x:v>
      </x:c>
      <x:c r="B1" s="4"/>
      <x:c r="C1" s="4"/>
      <x:c r="D1" s="4"/>
      <x:c r="E1" s="4"/>
      <x:c r="F1" s="4"/>
    </x:row>
    <x:row r="2">
      <x:c r="A2" s="17" t="str">
        <x:v>rule_id</x:v>
      </x:c>
      <x:c r="B2" s="17" t="str">
        <x:v>category</x:v>
      </x:c>
      <x:c r="C2" s="17" t="str">
        <x:v>condition</x:v>
      </x:c>
      <x:c r="D2" s="17" t="str">
        <x:v>result</x:v>
      </x:c>
      <x:c r="E2" s="17" t="str">
        <x:v>status</x:v>
      </x:c>
      <x:c r="F2" s="17" t="str">
        <x:v>evidence</x:v>
      </x:c>
    </x:row>
    <x:row r="3">
      <x:c r="A3" s="22" t="str">
        <x:v>CM-CON-SP-A</x:v>
      </x:c>
      <x:c r="B3" s="22" t="str">
        <x:v>work_space_a_mm</x:v>
      </x:c>
      <x:c r="C3" s="22" t="str">
        <x:v>125</x:v>
      </x:c>
      <x:c r="D3" s="22" t="str">
        <x:v>以上確保</x:v>
      </x:c>
      <x:c r="E3" s="22" t="str">
        <x:v>COMPLETE</x:v>
      </x:c>
      <x:c r="F3" s="22" t="str">
        <x:v>CM-EV-011</x:v>
      </x:c>
    </x:row>
    <x:row r="4">
      <x:c r="A4" s="22" t="str">
        <x:v>CM-CON-SP-B</x:v>
      </x:c>
      <x:c r="B4" s="22" t="str">
        <x:v>work_space_b_mm</x:v>
      </x:c>
      <x:c r="C4" s="22" t="str">
        <x:v>125</x:v>
      </x:c>
      <x:c r="D4" s="22" t="str">
        <x:v>以上確保</x:v>
      </x:c>
      <x:c r="E4" s="22" t="str">
        <x:v>COMPLETE</x:v>
      </x:c>
      <x:c r="F4" s="22" t="str">
        <x:v>CM-EV-011</x:v>
      </x:c>
    </x:row>
    <x:row r="5">
      <x:c r="A5" s="22" t="str">
        <x:v>CM-CON-SP-C</x:v>
      </x:c>
      <x:c r="B5" s="22" t="str">
        <x:v>work_space_c_mm</x:v>
      </x:c>
      <x:c r="C5" s="22" t="str">
        <x:v>110</x:v>
      </x:c>
      <x:c r="D5" s="22" t="str">
        <x:v>以上確保</x:v>
      </x:c>
      <x:c r="E5" s="22" t="str">
        <x:v>COMPLETE</x:v>
      </x:c>
      <x:c r="F5" s="22" t="str">
        <x:v>CM-EV-011</x:v>
      </x:c>
    </x:row>
    <x:row r="6">
      <x:c r="A6" s="22" t="str">
        <x:v>CM-CON-SUBSTRATE</x:v>
      </x:c>
      <x:c r="B6" s="22" t="str">
        <x:v>wall_substrate</x:v>
      </x:c>
      <x:c r="C6" s="22" t="str">
        <x:v>固定下地確認</x:v>
      </x:c>
      <x:c r="D6" s="22" t="str">
        <x:v>現場確認</x:v>
      </x:c>
      <x:c r="E6" s="22" t="str">
        <x:v>COMPLETE_WITH_EXTERNAL_CHECK</x:v>
      </x:c>
      <x:c r="F6" s="22" t="str">
        <x:v>CM-EV-011</x:v>
      </x:c>
    </x:row>
    <x:row r="7">
      <x:c r="A7" s="22" t="str">
        <x:v>CM-CON-WATER</x:v>
      </x:c>
      <x:c r="B7" s="22" t="str">
        <x:v>waterproofing</x:v>
      </x:c>
      <x:c r="C7" s="22" t="str">
        <x:v>防水状態</x:v>
      </x:c>
      <x:c r="D7" s="22" t="str">
        <x:v>現場確認</x:v>
      </x:c>
      <x:c r="E7" s="22" t="str">
        <x:v>COMPLETE_WITH_EXTERNAL_CHECK</x:v>
      </x:c>
      <x:c r="F7" s="22" t="str">
        <x:v>CM-EV-011</x:v>
      </x:c>
    </x:row>
    <x:row r="8">
      <x:c r="A8" s="22" t="str">
        <x:v>CM-CON-SEAL</x:v>
      </x:c>
      <x:c r="B8" s="22" t="str">
        <x:v>primary_seal</x:v>
      </x:c>
      <x:c r="C8" s="22" t="str">
        <x:v>乾式シーリング材/シーリング</x:v>
      </x:c>
      <x:c r="D8" s="22" t="str">
        <x:v>納まり別AUTO_RESOLVED</x:v>
      </x:c>
      <x:c r="E8" s="22" t="str">
        <x:v>COMPLETE</x:v>
      </x:c>
      <x:c r="F8" s="22" t="str">
        <x:v>CM-EV-007,008</x:v>
      </x:c>
    </x:row>
  </x:sheetData>
  <x:mergeCells>
    <x:mergeCell ref="A1:F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8" hidden="0" customWidth="1"/>
    <x:col min="4" max="4" width="32" hidden="0" customWidth="1"/>
    <x:col min="5" max="5" width="38" hidden="0" customWidth="1"/>
    <x:col min="6" max="6" width="34" hidden="0" customWidth="1"/>
    <x:col min="7" max="7" width="12" hidden="0" customWidth="1"/>
    <x:col min="8" max="8" width="12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24" hidden="0" customWidth="1"/>
    <x:col min="15" max="15" width="22" hidden="0" customWidth="1"/>
    <x:col min="16" max="16" width="30" hidden="0" customWidth="1"/>
  </x:cols>
  <x:sheetData>
    <x:row r="1">
      <x:c r="A1" s="28" t="str">
        <x:v>11_見積入力テスト｜Golden Test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>
      <x:c r="A2" s="30" t="str">
        <x:v>正本実在サイズを使い、通常・条件分岐・非対応を確認。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  <x:c r="O2" s="30"/>
      <x:c r="P2" s="30"/>
      <x:c r="Q2" s="29"/>
      <x:c r="R2" s="29"/>
      <x:c r="S2" s="29"/>
      <x:c r="T2" s="29"/>
      <x:c r="U2" s="29"/>
      <x:c r="V2" s="29"/>
      <x:c r="W2" s="29"/>
      <x:c r="X2" s="29"/>
      <x:c r="Y2" s="29"/>
      <x:c r="Z2" s="29"/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>
      <x:c r="A4" s="31" t="str">
        <x:v>test_id</x:v>
      </x:c>
      <x:c r="B4" s="31" t="str">
        <x:v>case</x:v>
      </x:c>
      <x:c r="C4" s="31" t="str">
        <x:v>series</x:v>
      </x:c>
      <x:c r="D4" s="31" t="str">
        <x:v>window_id</x:v>
      </x:c>
      <x:c r="E4" s="31" t="str">
        <x:v>spec</x:v>
      </x:c>
      <x:c r="F4" s="31" t="str">
        <x:v>size_proof</x:v>
      </x:c>
      <x:c r="G4" s="31" t="str">
        <x:v>W</x:v>
      </x:c>
      <x:c r="H4" s="31" t="str">
        <x:v>H</x:v>
      </x:c>
      <x:c r="I4" s="31" t="str">
        <x:v>opening</x:v>
      </x:c>
      <x:c r="J4" s="31" t="str">
        <x:v>building</x:v>
      </x:c>
      <x:c r="K4" s="31" t="str">
        <x:v>floor</x:v>
      </x:c>
      <x:c r="L4" s="31" t="str">
        <x:v>MW</x:v>
      </x:c>
      <x:c r="M4" s="31" t="str">
        <x:v>MH</x:v>
      </x:c>
      <x:c r="N4" s="31" t="str">
        <x:v>local_result</x:v>
      </x:c>
      <x:c r="O4" s="31" t="str">
        <x:v>reference_result</x:v>
      </x:c>
      <x:c r="P4" s="31" t="str">
        <x:v>final_result</x:v>
      </x:c>
      <x:c r="Q4" s="29"/>
      <x:c r="R4" s="29"/>
      <x:c r="S4" s="29"/>
      <x:c r="T4" s="29"/>
      <x:c r="U4" s="29"/>
      <x:c r="V4" s="29"/>
      <x:c r="W4" s="29"/>
      <x:c r="X4" s="29"/>
      <x:c r="Y4" s="29"/>
      <x:c r="Z4" s="29"/>
    </x:row>
    <x:row r="5">
      <x:c r="A5" s="32" t="str">
        <x:v>GT-CM-01</x:v>
      </x:c>
      <x:c r="B5" s="32" t="str">
        <x:v>通常マド</x:v>
      </x:c>
      <x:c r="C5" s="32" t="str">
        <x:v>SER-LIX-SAMOSL</x:v>
      </x:c>
      <x:c r="D5" s="32" t="str">
        <x:v>WT-SL-YOKO-SUBERI</x:v>
      </x:c>
      <x:c r="E5" s="32" t="str">
        <x:v>SP-SL-YOKO-CAM</x:v>
      </x:c>
      <x:c r="F5" s="32" t="str">
        <x:v>SZ-SL-001542 active</x:v>
      </x:c>
      <x:c r="G5" s="32" t="n">
        <x:v>405</x:v>
      </x:c>
      <x:c r="H5" s="32" t="n">
        <x:v>370</x:v>
      </x:c>
      <x:c r="I5" s="32" t="str">
        <x:v>MADO</x:v>
      </x:c>
      <x:c r="J5" s="32" t="str">
        <x:v>木造</x:v>
      </x:c>
      <x:c r="K5" s="32" t="str">
        <x:v>通常</x:v>
      </x:c>
      <x:c r="L5" s="32" t="n">
        <x:f>G5+16</x:f>
        <x:v>421</x:v>
      </x:c>
      <x:c r="M5" s="32" t="n">
        <x:f>H5+26</x:f>
        <x:v>396</x:v>
      </x:c>
      <x:c r="N5" s="32" t="str">
        <x:f>IF(AND(J5="木造",K5&lt;&gt;"土間",L5=421,M5=396),"PASS","FAIL")</x:f>
        <x:v>PASS</x:v>
      </x:c>
      <x:c r="O5" s="32" t="str">
        <x:v>PASS</x:v>
      </x:c>
      <x:c r="P5" s="32" t="str">
        <x:f>IF(AND(N5="PASS",O5="PASS"),"通常候補として確定可","要確認")</x:f>
        <x:v>通常候補として確定可</x:v>
      </x:c>
      <x:c r="Q5" s="29"/>
      <x:c r="R5" s="29"/>
      <x:c r="S5" s="29"/>
      <x:c r="T5" s="29"/>
      <x:c r="U5" s="29"/>
      <x:c r="V5" s="29"/>
      <x:c r="W5" s="29"/>
      <x:c r="X5" s="29"/>
      <x:c r="Y5" s="29"/>
      <x:c r="Z5" s="29"/>
    </x:row>
    <x:row r="6">
      <x:c r="A6" s="32" t="str">
        <x:v>GT-CM-02</x:v>
      </x:c>
      <x:c r="B6" s="32" t="str">
        <x:v>シャッターテラス</x:v>
      </x:c>
      <x:c r="C6" s="32" t="str">
        <x:v>SER-LIX-SAMOS2H</x:v>
      </x:c>
      <x:c r="D6" s="32" t="str">
        <x:v>WT-S2H-SHUTTER-HIKI</x:v>
      </x:c>
      <x:c r="E6" s="32" t="str">
        <x:v>SP-S2H-SHUT-E-VENT</x:v>
      </x:c>
      <x:c r="F6" s="32" t="str">
        <x:v>SZ-S2H-00377 active</x:v>
      </x:c>
      <x:c r="G6" s="32" t="n">
        <x:v>2550</x:v>
      </x:c>
      <x:c r="H6" s="32" t="n">
        <x:v>2030</x:v>
      </x:c>
      <x:c r="I6" s="32" t="str">
        <x:v>TERRACE</x:v>
      </x:c>
      <x:c r="J6" s="32" t="str">
        <x:v>木造</x:v>
      </x:c>
      <x:c r="K6" s="32" t="str">
        <x:v>通常</x:v>
      </x:c>
      <x:c r="L6" s="32" t="n">
        <x:f>G6+26</x:f>
        <x:v>2576</x:v>
      </x:c>
      <x:c r="M6" s="32" t="n">
        <x:f>H6+312</x:f>
        <x:v>2342</x:v>
      </x:c>
      <x:c r="N6" s="32" t="str">
        <x:f>IF(AND(J6="木造",L6=2576,M6=2342),"PASS","FAIL")</x:f>
        <x:v>PASS</x:v>
      </x:c>
      <x:c r="O6" s="32" t="str">
        <x:v>PASS</x:v>
      </x:c>
      <x:c r="P6" s="32" t="str">
        <x:f>IF(AND(N6="PASS",O6="PASS"),"通常候補として確定可","要確認")</x:f>
        <x:v>通常候補として確定可</x:v>
      </x:c>
      <x:c r="Q6" s="29"/>
      <x:c r="R6" s="29"/>
      <x:c r="S6" s="29"/>
      <x:c r="T6" s="29"/>
      <x:c r="U6" s="29"/>
      <x:c r="V6" s="29"/>
      <x:c r="W6" s="29"/>
      <x:c r="X6" s="29"/>
      <x:c r="Y6" s="29"/>
      <x:c r="Z6" s="29"/>
    </x:row>
    <x:row r="7">
      <x:c r="A7" s="32" t="str">
        <x:v>GT-CM-03</x:v>
      </x:c>
      <x:c r="B7" s="32" t="str">
        <x:v>非対応構造</x:v>
      </x:c>
      <x:c r="C7" s="32" t="str">
        <x:v>SER-LIX-SAMOSL</x:v>
      </x:c>
      <x:c r="D7" s="32" t="str">
        <x:v>WT-SL-YOKO-SUBERI</x:v>
      </x:c>
      <x:c r="E7" s="32" t="str">
        <x:v>SP-SL-YOKO-CAM</x:v>
      </x:c>
      <x:c r="F7" s="32" t="str">
        <x:v>SZ-SL-001542 active</x:v>
      </x:c>
      <x:c r="G7" s="32" t="n">
        <x:v>405</x:v>
      </x:c>
      <x:c r="H7" s="32" t="n">
        <x:v>370</x:v>
      </x:c>
      <x:c r="I7" s="32" t="str">
        <x:v>MADO</x:v>
      </x:c>
      <x:c r="J7" s="32" t="str">
        <x:v>RC</x:v>
      </x:c>
      <x:c r="K7" s="32" t="str">
        <x:v>通常</x:v>
      </x:c>
      <x:c r="L7" s="32" t="n">
        <x:f>G7+16</x:f>
        <x:v>421</x:v>
      </x:c>
      <x:c r="M7" s="32" t="n">
        <x:f>H7+26</x:f>
        <x:v>396</x:v>
      </x:c>
      <x:c r="N7" s="32" t="str">
        <x:f>IF(J7&lt;&gt;"木造","REJECT","FAIL")</x:f>
        <x:v>REJECT</x:v>
      </x:c>
      <x:c r="O7" s="32" t="str">
        <x:v>PASS</x:v>
      </x:c>
      <x:c r="P7" s="32" t="str">
        <x:f>IF(N7="REJECT","REJECT/HIDE","FAIL")</x:f>
        <x:v>REJECT/HIDE</x:v>
      </x:c>
      <x:c r="Q7" s="29"/>
      <x:c r="R7" s="29"/>
      <x:c r="S7" s="29"/>
      <x:c r="T7" s="29"/>
      <x:c r="U7" s="29"/>
      <x:c r="V7" s="29"/>
      <x:c r="W7" s="29"/>
      <x:c r="X7" s="29"/>
      <x:c r="Y7" s="29"/>
      <x:c r="Z7" s="29"/>
    </x:row>
    <x:row r="8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  <x:c r="X8" s="29"/>
      <x:c r="Y8" s="29"/>
      <x:c r="Z8" s="29"/>
    </x:row>
    <x:row r="9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  <x:c r="X9" s="29"/>
      <x:c r="Y9" s="29"/>
      <x:c r="Z9" s="29"/>
    </x:row>
    <x:row r="10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  <x:c r="X10" s="29"/>
      <x:c r="Y10" s="29"/>
      <x:c r="Z10" s="29"/>
    </x:row>
    <x:row r="1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  <x:c r="Z11" s="29"/>
    </x:row>
    <x:row r="12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  <x:c r="Z12" s="29"/>
    </x:row>
    <x:row r="13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  <x:c r="Z13" s="29"/>
    </x:row>
    <x:row r="14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  <x:c r="Z14" s="29"/>
    </x:row>
    <x:row r="15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</x:row>
    <x:row r="16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  <x:c r="X16" s="29"/>
      <x:c r="Y16" s="29"/>
      <x:c r="Z16" s="29"/>
    </x:row>
    <x:row r="17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  <x:c r="X17" s="29"/>
      <x:c r="Y17" s="29"/>
      <x:c r="Z17" s="29"/>
    </x:row>
    <x:row r="18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  <x:c r="X18" s="29"/>
      <x:c r="Y18" s="29"/>
      <x:c r="Z18" s="29"/>
    </x:row>
    <x:row r="19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  <x:c r="X19" s="29"/>
      <x:c r="Y19" s="29"/>
      <x:c r="Z19" s="29"/>
    </x:row>
    <x:row r="20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  <x:c r="X20" s="29"/>
      <x:c r="Y20" s="29"/>
      <x:c r="Z20" s="29"/>
    </x:row>
    <x:row r="2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  <x:c r="X21" s="29"/>
      <x:c r="Y21" s="29"/>
      <x:c r="Z21" s="29"/>
    </x:row>
    <x:row r="22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  <x:c r="X22" s="29"/>
      <x:c r="Y22" s="29"/>
      <x:c r="Z22" s="29"/>
    </x:row>
    <x:row r="23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  <x:c r="Y23" s="29"/>
      <x:c r="Z23" s="29"/>
    </x:row>
    <x:row r="24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  <x:c r="X24" s="29"/>
      <x:c r="Y24" s="29"/>
      <x:c r="Z24" s="29"/>
    </x:row>
    <x:row r="25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</x:row>
    <x:row r="26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  <x:c r="X26" s="29"/>
      <x:c r="Y26" s="29"/>
      <x:c r="Z26" s="29"/>
    </x:row>
    <x:row r="27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  <x:c r="X27" s="29"/>
      <x:c r="Y27" s="29"/>
      <x:c r="Z27" s="29"/>
    </x:row>
    <x:row r="28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  <x:c r="X28" s="29"/>
      <x:c r="Y28" s="29"/>
      <x:c r="Z28" s="29"/>
    </x:row>
    <x:row r="29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  <x:c r="X29" s="29"/>
      <x:c r="Y29" s="29"/>
      <x:c r="Z29" s="29"/>
    </x:row>
    <x:row r="30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  <x:c r="X30" s="29"/>
      <x:c r="Y30" s="29"/>
      <x:c r="Z30" s="29"/>
    </x:row>
    <x:row r="3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  <x:c r="X31" s="29"/>
      <x:c r="Y31" s="29"/>
      <x:c r="Z31" s="29"/>
    </x:row>
    <x:row r="32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  <x:c r="X32" s="29"/>
      <x:c r="Y32" s="29"/>
      <x:c r="Z32" s="29"/>
    </x:row>
    <x:row r="33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  <x:c r="Z33" s="29"/>
    </x:row>
    <x:row r="34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  <x:c r="X34" s="29"/>
      <x:c r="Y34" s="29"/>
      <x:c r="Z34" s="29"/>
    </x:row>
    <x:row r="35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29"/>
      <x:c r="Z35" s="29"/>
    </x:row>
    <x:row r="36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  <x:c r="Y36" s="29"/>
      <x:c r="Z36" s="29"/>
    </x:row>
    <x:row r="37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  <x:c r="Y37" s="29"/>
      <x:c r="Z37" s="29"/>
    </x:row>
    <x:row r="38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  <x:c r="X38" s="29"/>
      <x:c r="Y38" s="29"/>
      <x:c r="Z38" s="29"/>
    </x:row>
    <x:row r="39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  <x:c r="X39" s="29"/>
      <x:c r="Y39" s="29"/>
      <x:c r="Z39" s="29"/>
    </x:row>
    <x:row r="40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  <x:c r="Y40" s="29"/>
      <x:c r="Z40" s="29"/>
    </x:row>
    <x:row r="4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  <x:c r="X41" s="29"/>
      <x:c r="Y41" s="29"/>
      <x:c r="Z41" s="29"/>
    </x:row>
    <x:row r="42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  <x:c r="X42" s="29"/>
      <x:c r="Y42" s="29"/>
      <x:c r="Z42" s="29"/>
    </x:row>
    <x:row r="43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  <x:c r="X43" s="29"/>
      <x:c r="Y43" s="29"/>
      <x:c r="Z43" s="29"/>
    </x:row>
    <x:row r="44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  <x:c r="X44" s="29"/>
      <x:c r="Y44" s="29"/>
      <x:c r="Z44" s="29"/>
    </x:row>
    <x:row r="45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  <x:c r="X45" s="29"/>
      <x:c r="Y45" s="29"/>
      <x:c r="Z45" s="29"/>
    </x:row>
    <x:row r="46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  <x:c r="X46" s="29"/>
      <x:c r="Y46" s="29"/>
      <x:c r="Z46" s="29"/>
    </x:row>
    <x:row r="47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  <x:c r="X47" s="29"/>
      <x:c r="Y47" s="29"/>
      <x:c r="Z47" s="29"/>
    </x:row>
    <x:row r="48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  <x:c r="X48" s="29"/>
      <x:c r="Y48" s="29"/>
      <x:c r="Z48" s="29"/>
    </x:row>
    <x:row r="49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  <x:c r="X49" s="29"/>
      <x:c r="Y49" s="29"/>
      <x:c r="Z49" s="29"/>
    </x:row>
    <x:row r="50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  <x:c r="X50" s="29"/>
      <x:c r="Y50" s="29"/>
      <x:c r="Z50" s="29"/>
    </x:row>
    <x:row r="5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  <x:c r="X51" s="29"/>
      <x:c r="Y51" s="29"/>
      <x:c r="Z51" s="29"/>
    </x:row>
    <x:row r="52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  <x:c r="X52" s="29"/>
      <x:c r="Y52" s="29"/>
      <x:c r="Z52" s="29"/>
    </x:row>
    <x:row r="53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  <x:c r="X53" s="29"/>
      <x:c r="Y53" s="29"/>
      <x:c r="Z53" s="29"/>
    </x:row>
    <x:row r="54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  <x:c r="X54" s="29"/>
      <x:c r="Y54" s="29"/>
      <x:c r="Z54" s="29"/>
    </x:row>
    <x:row r="55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  <x:c r="X55" s="29"/>
      <x:c r="Y55" s="29"/>
      <x:c r="Z55" s="29"/>
    </x:row>
    <x:row r="56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  <x:c r="X56" s="29"/>
      <x:c r="Y56" s="29"/>
      <x:c r="Z56" s="29"/>
    </x:row>
    <x:row r="57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  <x:c r="X57" s="29"/>
      <x:c r="Y57" s="29"/>
      <x:c r="Z57" s="29"/>
    </x:row>
    <x:row r="58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  <x:c r="X58" s="29"/>
      <x:c r="Y58" s="29"/>
      <x:c r="Z58" s="29"/>
    </x:row>
    <x:row r="59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  <x:c r="X59" s="29"/>
      <x:c r="Y59" s="29"/>
      <x:c r="Z59" s="29"/>
    </x:row>
    <x:row r="60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  <x:c r="X60" s="29"/>
      <x:c r="Y60" s="29"/>
      <x:c r="Z60" s="29"/>
    </x:row>
    <x:row r="6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  <x:c r="X61" s="29"/>
      <x:c r="Y61" s="29"/>
      <x:c r="Z61" s="29"/>
    </x:row>
    <x:row r="62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  <x:c r="X62" s="29"/>
      <x:c r="Y62" s="29"/>
      <x:c r="Z62" s="29"/>
    </x:row>
    <x:row r="63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  <x:c r="X63" s="29"/>
      <x:c r="Y63" s="29"/>
      <x:c r="Z63" s="29"/>
    </x:row>
    <x:row r="64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  <x:c r="X64" s="29"/>
      <x:c r="Y64" s="29"/>
      <x:c r="Z64" s="29"/>
    </x:row>
    <x:row r="65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  <x:c r="X65" s="29"/>
      <x:c r="Y65" s="29"/>
      <x:c r="Z65" s="29"/>
    </x:row>
    <x:row r="66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  <x:c r="X66" s="29"/>
      <x:c r="Y66" s="29"/>
      <x:c r="Z66" s="29"/>
    </x:row>
    <x:row r="67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  <x:c r="X67" s="29"/>
      <x:c r="Y67" s="29"/>
      <x:c r="Z67" s="29"/>
    </x:row>
    <x:row r="68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  <x:c r="X68" s="29"/>
      <x:c r="Y68" s="29"/>
      <x:c r="Z68" s="29"/>
    </x:row>
    <x:row r="69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  <x:c r="X69" s="29"/>
      <x:c r="Y69" s="29"/>
      <x:c r="Z69" s="29"/>
    </x:row>
    <x:row r="70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  <x:c r="X70" s="29"/>
      <x:c r="Y70" s="29"/>
      <x:c r="Z70" s="29"/>
    </x:row>
    <x:row r="7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  <x:c r="X71" s="29"/>
      <x:c r="Y71" s="29"/>
      <x:c r="Z71" s="29"/>
    </x:row>
    <x:row r="72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  <x:c r="X72" s="29"/>
      <x:c r="Y72" s="29"/>
      <x:c r="Z72" s="29"/>
    </x:row>
    <x:row r="73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  <x:c r="X73" s="29"/>
      <x:c r="Y73" s="29"/>
      <x:c r="Z73" s="29"/>
    </x:row>
    <x:row r="74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  <x:c r="X74" s="29"/>
      <x:c r="Y74" s="29"/>
      <x:c r="Z74" s="29"/>
    </x:row>
    <x:row r="75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  <x:c r="X75" s="29"/>
      <x:c r="Y75" s="29"/>
      <x:c r="Z75" s="29"/>
    </x:row>
    <x:row r="76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  <x:c r="X76" s="29"/>
      <x:c r="Y76" s="29"/>
      <x:c r="Z76" s="29"/>
    </x:row>
    <x:row r="77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  <x:c r="X77" s="29"/>
      <x:c r="Y77" s="29"/>
      <x:c r="Z77" s="29"/>
    </x:row>
    <x:row r="78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  <x:c r="X78" s="29"/>
      <x:c r="Y78" s="29"/>
      <x:c r="Z78" s="29"/>
    </x:row>
    <x:row r="79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  <x:c r="X79" s="29"/>
      <x:c r="Y79" s="29"/>
      <x:c r="Z79" s="29"/>
    </x:row>
    <x:row r="80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  <x:c r="X80" s="29"/>
      <x:c r="Y80" s="29"/>
      <x:c r="Z80" s="29"/>
    </x:row>
    <x:row r="8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  <x:c r="X81" s="29"/>
      <x:c r="Y81" s="29"/>
      <x:c r="Z81" s="29"/>
    </x:row>
    <x:row r="82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  <x:c r="X82" s="29"/>
      <x:c r="Y82" s="29"/>
      <x:c r="Z82" s="29"/>
    </x:row>
    <x:row r="83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  <x:c r="X83" s="29"/>
      <x:c r="Y83" s="29"/>
      <x:c r="Z83" s="29"/>
    </x:row>
    <x:row r="84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  <x:c r="X84" s="29"/>
      <x:c r="Y84" s="29"/>
      <x:c r="Z84" s="29"/>
    </x:row>
    <x:row r="85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  <x:c r="X85" s="29"/>
      <x:c r="Y85" s="29"/>
      <x:c r="Z85" s="29"/>
    </x:row>
    <x:row r="86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  <x:c r="X86" s="29"/>
      <x:c r="Y86" s="29"/>
      <x:c r="Z86" s="29"/>
    </x:row>
    <x:row r="87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  <x:c r="X87" s="29"/>
      <x:c r="Y87" s="29"/>
      <x:c r="Z87" s="29"/>
    </x:row>
    <x:row r="88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  <x:c r="X88" s="29"/>
      <x:c r="Y88" s="29"/>
      <x:c r="Z88" s="29"/>
    </x:row>
    <x:row r="89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  <x:c r="X89" s="29"/>
      <x:c r="Y89" s="29"/>
      <x:c r="Z89" s="29"/>
    </x:row>
    <x:row r="90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  <x:c r="X90" s="29"/>
      <x:c r="Y90" s="29"/>
      <x:c r="Z90" s="29"/>
    </x:row>
    <x:row r="9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  <x:c r="X91" s="29"/>
      <x:c r="Y91" s="29"/>
      <x:c r="Z91" s="29"/>
    </x:row>
    <x:row r="92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  <x:c r="X92" s="29"/>
      <x:c r="Y92" s="29"/>
      <x:c r="Z92" s="29"/>
    </x:row>
    <x:row r="93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  <x:c r="X93" s="29"/>
      <x:c r="Y93" s="29"/>
      <x:c r="Z93" s="29"/>
    </x:row>
    <x:row r="94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  <x:c r="X94" s="29"/>
      <x:c r="Y94" s="29"/>
      <x:c r="Z94" s="29"/>
    </x:row>
    <x:row r="95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  <x:c r="X95" s="29"/>
      <x:c r="Y95" s="29"/>
      <x:c r="Z95" s="29"/>
    </x:row>
    <x:row r="96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  <x:c r="X96" s="29"/>
      <x:c r="Y96" s="29"/>
      <x:c r="Z96" s="29"/>
    </x:row>
    <x:row r="97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  <x:c r="X97" s="29"/>
      <x:c r="Y97" s="29"/>
      <x:c r="Z97" s="29"/>
    </x:row>
    <x:row r="98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  <x:c r="X98" s="29"/>
      <x:c r="Y98" s="29"/>
      <x:c r="Z98" s="29"/>
    </x:row>
    <x:row r="99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  <x:c r="X99" s="29"/>
      <x:c r="Y99" s="29"/>
      <x:c r="Z99" s="29"/>
    </x:row>
    <x:row r="100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  <x:c r="X100" s="29"/>
      <x:c r="Y100" s="29"/>
      <x:c r="Z100" s="29"/>
    </x:row>
  </x:sheetData>
  <x:mergeCells>
    <x:mergeCell ref="A1:P1"/>
    <x:mergeCell ref="A2:P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50" hidden="0" customWidth="1"/>
    <x:col min="4" max="4" width="22" hidden="0" customWidth="1"/>
    <x:col min="5" max="5" width="18" hidden="0" customWidth="1"/>
    <x:col min="6" max="6" width="24" hidden="0" customWidth="1"/>
  </x:cols>
  <x:sheetData>
    <x:row r="1">
      <x:c r="A1" s="4" t="str">
        <x:v>12_共通参照</x:v>
      </x:c>
      <x:c r="B1" s="4"/>
      <x:c r="C1" s="4"/>
      <x:c r="D1" s="4"/>
      <x:c r="E1" s="4"/>
      <x:c r="F1" s="4"/>
    </x:row>
    <x:row r="2">
      <x:c r="A2" s="17" t="str">
        <x:v>id</x:v>
      </x:c>
      <x:c r="B2" s="17" t="str">
        <x:v>category</x:v>
      </x:c>
      <x:c r="C2" s="17" t="str">
        <x:v>reference</x:v>
      </x:c>
      <x:c r="D2" s="17" t="str">
        <x:v>role</x:v>
      </x:c>
      <x:c r="E2" s="17" t="str">
        <x:v>status</x:v>
      </x:c>
      <x:c r="F2" s="17" t="str">
        <x:v>evidence</x:v>
      </x:c>
    </x:row>
    <x:row r="3">
      <x:c r="A3" s="22" t="str">
        <x:v>CM-SHARED-01</x:v>
      </x:c>
      <x:c r="B3" s="22" t="str">
        <x:v>参照商品正本</x:v>
      </x:c>
      <x:c r="C3" s="22" t="str">
        <x:v>TW/S2H/SL/SA</x:v>
      </x:c>
      <x:c r="D3" s="22" t="str">
        <x:v>SSOT</x:v>
      </x:c>
      <x:c r="E3" s="22" t="str">
        <x:v>COMPLETE</x:v>
      </x:c>
      <x:c r="F3" s="22" t="str">
        <x:v>CM-EV-003～006</x:v>
      </x:c>
    </x:row>
    <x:row r="4">
      <x:c r="A4" s="22" t="str">
        <x:v>CM-SHARED-02</x:v>
      </x:c>
      <x:c r="B4" s="22" t="str">
        <x:v>Package Gate</x:v>
      </x:c>
      <x:c r="C4" s="22" t="str">
        <x:v>v2.0成果物仕様</x:v>
      </x:c>
      <x:c r="D4" s="22" t="str">
        <x:v>PACKAGE</x:v>
      </x:c>
      <x:c r="E4" s="22" t="str">
        <x:v>COMPLETE</x:v>
      </x:c>
      <x:c r="F4" s="22" t="str">
        <x:v>CM-EV-016</x:v>
      </x:c>
    </x:row>
  </x:sheetData>
  <x:mergeCells>
    <x:mergeCell ref="A1:F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30" hidden="0" customWidth="1"/>
    <x:col min="4" max="4" width="30" hidden="0" customWidth="1"/>
    <x:col min="5" max="5" width="40" hidden="0" customWidth="1"/>
    <x:col min="6" max="6" width="18" hidden="0" customWidth="1"/>
    <x:col min="7" max="7" width="24" hidden="0" customWidth="1"/>
  </x:cols>
  <x:sheetData>
    <x:row r="1">
      <x:c r="A1" s="4" t="str">
        <x:v>12A_他取替方式比較</x:v>
      </x:c>
      <x:c r="B1" s="4"/>
      <x:c r="C1" s="4"/>
      <x:c r="D1" s="4"/>
      <x:c r="E1" s="4"/>
      <x:c r="F1" s="4"/>
      <x:c r="G1" s="4"/>
    </x:row>
    <x:row r="2">
      <x:c r="A2" s="17" t="str">
        <x:v>項目</x:v>
      </x:c>
      <x:c r="B2" s="17" t="str">
        <x:v>RPL_DIRECT</x:v>
      </x:c>
      <x:c r="C2" s="17" t="str">
        <x:v>RPL_ATT_TW</x:v>
      </x:c>
      <x:c r="D2" s="17" t="str">
        <x:v>RPL_ATT_TH</x:v>
      </x:c>
      <x:c r="E2" s="17" t="str">
        <x:v>RPL_CUT_MALL</x:v>
      </x:c>
      <x:c r="F2" s="17" t="str">
        <x:v>判定</x:v>
      </x:c>
      <x:c r="G2" s="17" t="str">
        <x:v>evidence</x:v>
      </x:c>
    </x:row>
    <x:row r="3">
      <x:c r="A3" s="22" t="str">
        <x:v>商品構造</x:v>
      </x:c>
      <x:c r="B3" s="22" t="str">
        <x:v>既設枠被覆</x:v>
      </x:c>
      <x:c r="C3" s="22" t="str">
        <x:v>既設枠+アタッチ</x:v>
      </x:c>
      <x:c r="D3" s="22" t="str">
        <x:v>既設枠+アタッチ</x:v>
      </x:c>
      <x:c r="E3" s="22" t="str">
        <x:v>外壁切断+既設枠撤去</x:v>
      </x:c>
      <x:c r="F3" s="22" t="str">
        <x:v>DIFFERENT</x:v>
      </x:c>
      <x:c r="G3" s="22" t="str">
        <x:v>CM-EV-002</x:v>
      </x:c>
    </x:row>
    <x:row r="4">
      <x:c r="A4" s="22" t="str">
        <x:v>壁工事</x:v>
      </x:c>
      <x:c r="B4" s="22" t="str">
        <x:v>なし</x:v>
      </x:c>
      <x:c r="C4" s="22" t="str">
        <x:v>なし</x:v>
      </x:c>
      <x:c r="D4" s="22" t="str">
        <x:v>なし</x:v>
      </x:c>
      <x:c r="E4" s="22" t="str">
        <x:v>あり</x:v>
      </x:c>
      <x:c r="F4" s="22" t="str">
        <x:v>DIFFERENT</x:v>
      </x:c>
      <x:c r="G4" s="22" t="str">
        <x:v>CM-EV-002</x:v>
      </x:c>
    </x:row>
    <x:row r="5">
      <x:c r="A5" s="22" t="str">
        <x:v>新設商品</x:v>
      </x:c>
      <x:c r="B5" s="22" t="str">
        <x:v>専用取替枠</x:v>
      </x:c>
      <x:c r="C5" s="22" t="str">
        <x:v>TW</x:v>
      </x:c>
      <x:c r="D5" s="22" t="str">
        <x:v>サーモス系</x:v>
      </x:c>
      <x:c r="E5" s="22" t="str">
        <x:v>TW/S2H/SL/SA</x:v>
      </x:c>
      <x:c r="F5" s="22" t="str">
        <x:v>DIFFERENT</x:v>
      </x:c>
      <x:c r="G5" s="22" t="str">
        <x:v>CM-EV-002</x:v>
      </x:c>
    </x:row>
    <x:row r="6">
      <x:c r="A6" s="22" t="str">
        <x:v>寸法式</x:v>
      </x:c>
      <x:c r="B6" s="22" t="str">
        <x:v>専用</x:v>
      </x:c>
      <x:c r="C6" s="22" t="str">
        <x:v>WS/HS変換</x:v>
      </x:c>
      <x:c r="D6" s="22" t="str">
        <x:v>WS/HS変換</x:v>
      </x:c>
      <x:c r="E6" s="22" t="str">
        <x:v>新設W/H→MW/MH</x:v>
      </x:c>
      <x:c r="F6" s="22" t="str">
        <x:v>DIFFERENT</x:v>
      </x:c>
      <x:c r="G6" s="22" t="str">
        <x:v>CM-EV-007～010</x:v>
      </x:c>
    </x:row>
    <x:row r="7">
      <x:c r="A7" s="22" t="str">
        <x:v>建物</x:v>
      </x:c>
      <x:c r="B7" s="22" t="str">
        <x:v>各方式条件</x:v>
      </x:c>
      <x:c r="C7" s="22" t="str">
        <x:v>各方式条件</x:v>
      </x:c>
      <x:c r="D7" s="22" t="str">
        <x:v>各方式条件</x:v>
      </x:c>
      <x:c r="E7" s="22" t="str">
        <x:v>木造のみ</x:v>
      </x:c>
      <x:c r="F7" s="22" t="str">
        <x:v>DIFFERENT</x:v>
      </x:c>
      <x:c r="G7" s="22" t="str">
        <x:v>CM-EV-011</x:v>
      </x:c>
    </x:row>
  </x:sheetData>
  <x:mergeCells>
    <x:mergeCell ref="A1:G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48" hidden="0" customWidth="1"/>
    <x:col min="4" max="4" width="16" hidden="0" customWidth="1"/>
    <x:col min="5" max="5" width="42" hidden="0" customWidth="1"/>
    <x:col min="6" max="6" width="20" hidden="0" customWidth="1"/>
    <x:col min="7" max="7" width="18" hidden="0" customWidth="1"/>
  </x:cols>
  <x:sheetData>
    <x:row r="1">
      <x:c r="A1" s="28" t="str">
        <x:v>13_参照整合性監査</x:v>
      </x:c>
      <x:c r="B1" s="28"/>
      <x:c r="C1" s="28"/>
      <x:c r="D1" s="28"/>
      <x:c r="E1" s="28"/>
      <x:c r="F1" s="28"/>
      <x:c r="G1" s="28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>
      <x:c r="A2" s="31" t="str">
        <x:v>series</x:v>
      </x:c>
      <x:c r="B2" s="31" t="str">
        <x:v>series_id</x:v>
      </x:c>
      <x:c r="C2" s="31" t="str">
        <x:v>master_id</x:v>
      </x:c>
      <x:c r="D2" s="31" t="str">
        <x:v>version</x:v>
      </x:c>
      <x:c r="E2" s="31" t="str">
        <x:v>validation_entry</x:v>
      </x:c>
      <x:c r="F2" s="31" t="str">
        <x:v>mode</x:v>
      </x:c>
      <x:c r="G2" s="31" t="str">
        <x:v>result</x:v>
      </x:c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29"/>
      <x:c r="Y2" s="29"/>
      <x:c r="Z2" s="29"/>
    </x:row>
    <x:row r="3">
      <x:c r="A3" s="32" t="str">
        <x:v>TW</x:v>
      </x:c>
      <x:c r="B3" s="32" t="str">
        <x:v>SER-LIX-TW</x:v>
      </x:c>
      <x:c r="C3" s="32" t="str">
        <x:v>1ordbcPQS7XhptLMjRON2oxmdsPhs-aY-Wm7quPHvM9U</x:v>
      </x:c>
      <x:c r="D3" s="32" t="str">
        <x:v>integrated-v0.1</x:v>
      </x:c>
      <x:c r="E3" s="32" t="str">
        <x:v>03A active series_window_id</x:v>
      </x:c>
      <x:c r="F3" s="32" t="str">
        <x:v>REFERENCE</x:v>
      </x:c>
      <x:c r="G3" s="32" t="str">
        <x:v>PASS</x:v>
      </x:c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>
      <x:c r="A4" s="32" t="str">
        <x:v>サーモスⅡ-H</x:v>
      </x:c>
      <x:c r="B4" s="32" t="str">
        <x:v>SER-LIX-SAMOS2H</x:v>
      </x:c>
      <x:c r="C4" s="32" t="str">
        <x:v>1zHi-XsMqJp0MKH-sDoTcnTqkLMGcuRdo</x:v>
      </x:c>
      <x:c r="D4" s="32" t="str">
        <x:v>v0.7</x:v>
      </x:c>
      <x:c r="E4" s="32" t="str">
        <x:v>03/04/06</x:v>
      </x:c>
      <x:c r="F4" s="32" t="str">
        <x:v>REFERENCE</x:v>
      </x:c>
      <x:c r="G4" s="32" t="str">
        <x:v>PASS</x:v>
      </x:c>
      <x:c r="H4" s="29"/>
      <x:c r="I4" s="29"/>
      <x:c r="J4" s="29"/>
      <x:c r="K4" s="29"/>
      <x:c r="L4" s="29"/>
      <x:c r="M4" s="29"/>
      <x:c r="N4" s="29"/>
      <x:c r="O4" s="29"/>
      <x:c r="P4" s="29"/>
      <x:c r="Q4" s="29"/>
      <x:c r="R4" s="29"/>
      <x:c r="S4" s="29"/>
      <x:c r="T4" s="29"/>
      <x:c r="U4" s="29"/>
      <x:c r="V4" s="29"/>
      <x:c r="W4" s="29"/>
      <x:c r="X4" s="29"/>
      <x:c r="Y4" s="29"/>
      <x:c r="Z4" s="29"/>
    </x:row>
    <x:row r="5">
      <x:c r="A5" s="32" t="str">
        <x:v>サーモスL</x:v>
      </x:c>
      <x:c r="B5" s="32" t="str">
        <x:v>SER-LIX-SAMOSL</x:v>
      </x:c>
      <x:c r="C5" s="32" t="str">
        <x:v>17lVzBZ1hp4RVcGv0yNdnrKt25SFO2FhL</x:v>
      </x:c>
      <x:c r="D5" s="32" t="str">
        <x:v>v0.7</x:v>
      </x:c>
      <x:c r="E5" s="32" t="str">
        <x:v>03/04/06</x:v>
      </x:c>
      <x:c r="F5" s="32" t="str">
        <x:v>REFERENCE</x:v>
      </x:c>
      <x:c r="G5" s="32" t="str">
        <x:v>PASS</x:v>
      </x:c>
      <x:c r="H5" s="29"/>
      <x:c r="I5" s="29"/>
      <x:c r="J5" s="29"/>
      <x:c r="K5" s="29"/>
      <x:c r="L5" s="29"/>
      <x:c r="M5" s="29"/>
      <x:c r="N5" s="29"/>
      <x:c r="O5" s="29"/>
      <x:c r="P5" s="29"/>
      <x:c r="Q5" s="29"/>
      <x:c r="R5" s="29"/>
      <x:c r="S5" s="29"/>
      <x:c r="T5" s="29"/>
      <x:c r="U5" s="29"/>
      <x:c r="V5" s="29"/>
      <x:c r="W5" s="29"/>
      <x:c r="X5" s="29"/>
      <x:c r="Y5" s="29"/>
      <x:c r="Z5" s="29"/>
    </x:row>
    <x:row r="6">
      <x:c r="A6" s="32" t="str">
        <x:v>サーモスA</x:v>
      </x:c>
      <x:c r="B6" s="32" t="str">
        <x:v>SER-LIX-SAMOSA</x:v>
      </x:c>
      <x:c r="C6" s="32" t="str">
        <x:v>1cDEFzi0g1DzM5YoeGvZtHuXionD7tmFD</x:v>
      </x:c>
      <x:c r="D6" s="32" t="str">
        <x:v>v0.7</x:v>
      </x:c>
      <x:c r="E6" s="32" t="str">
        <x:v>02/12/15</x:v>
      </x:c>
      <x:c r="F6" s="32" t="str">
        <x:v>REFERENCE</x:v>
      </x:c>
      <x:c r="G6" s="32" t="str">
        <x:v>PASS</x:v>
      </x:c>
      <x:c r="H6" s="29"/>
      <x:c r="I6" s="29"/>
      <x:c r="J6" s="29"/>
      <x:c r="K6" s="29"/>
      <x:c r="L6" s="29"/>
      <x:c r="M6" s="29"/>
      <x:c r="N6" s="29"/>
      <x:c r="O6" s="29"/>
      <x:c r="P6" s="29"/>
      <x:c r="Q6" s="29"/>
      <x:c r="R6" s="29"/>
      <x:c r="S6" s="29"/>
      <x:c r="T6" s="29"/>
      <x:c r="U6" s="29"/>
      <x:c r="V6" s="29"/>
      <x:c r="W6" s="29"/>
      <x:c r="X6" s="29"/>
      <x:c r="Y6" s="29"/>
      <x:c r="Z6" s="29"/>
    </x:row>
    <x:row r="7">
      <x:c r="A7" s="29"/>
      <x:c r="B7" s="29"/>
      <x:c r="C7" s="29"/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  <x:c r="R7" s="29"/>
      <x:c r="S7" s="29"/>
      <x:c r="T7" s="29"/>
      <x:c r="U7" s="29"/>
      <x:c r="V7" s="29"/>
      <x:c r="W7" s="29"/>
      <x:c r="X7" s="29"/>
      <x:c r="Y7" s="29"/>
      <x:c r="Z7" s="29"/>
    </x:row>
    <x:row r="8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  <x:c r="X8" s="29"/>
      <x:c r="Y8" s="29"/>
      <x:c r="Z8" s="29"/>
    </x:row>
    <x:row r="9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  <x:c r="X9" s="29"/>
      <x:c r="Y9" s="29"/>
      <x:c r="Z9" s="29"/>
    </x:row>
    <x:row r="10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  <x:c r="X10" s="29"/>
      <x:c r="Y10" s="29"/>
      <x:c r="Z10" s="29"/>
    </x:row>
    <x:row r="1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  <x:c r="Z11" s="29"/>
    </x:row>
    <x:row r="12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  <x:c r="Z12" s="29"/>
    </x:row>
    <x:row r="13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  <x:c r="Z13" s="29"/>
    </x:row>
    <x:row r="14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  <x:c r="Z14" s="29"/>
    </x:row>
    <x:row r="15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</x:row>
    <x:row r="16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  <x:c r="X16" s="29"/>
      <x:c r="Y16" s="29"/>
      <x:c r="Z16" s="29"/>
    </x:row>
    <x:row r="17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  <x:c r="X17" s="29"/>
      <x:c r="Y17" s="29"/>
      <x:c r="Z17" s="29"/>
    </x:row>
    <x:row r="18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  <x:c r="X18" s="29"/>
      <x:c r="Y18" s="29"/>
      <x:c r="Z18" s="29"/>
    </x:row>
    <x:row r="19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  <x:c r="X19" s="29"/>
      <x:c r="Y19" s="29"/>
      <x:c r="Z19" s="29"/>
    </x:row>
    <x:row r="20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  <x:c r="X20" s="29"/>
      <x:c r="Y20" s="29"/>
      <x:c r="Z20" s="29"/>
    </x:row>
    <x:row r="2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  <x:c r="X21" s="29"/>
      <x:c r="Y21" s="29"/>
      <x:c r="Z21" s="29"/>
    </x:row>
    <x:row r="22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  <x:c r="X22" s="29"/>
      <x:c r="Y22" s="29"/>
      <x:c r="Z22" s="29"/>
    </x:row>
    <x:row r="23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  <x:c r="Y23" s="29"/>
      <x:c r="Z23" s="29"/>
    </x:row>
    <x:row r="24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  <x:c r="X24" s="29"/>
      <x:c r="Y24" s="29"/>
      <x:c r="Z24" s="29"/>
    </x:row>
    <x:row r="25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</x:row>
    <x:row r="26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  <x:c r="X26" s="29"/>
      <x:c r="Y26" s="29"/>
      <x:c r="Z26" s="29"/>
    </x:row>
    <x:row r="27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  <x:c r="X27" s="29"/>
      <x:c r="Y27" s="29"/>
      <x:c r="Z27" s="29"/>
    </x:row>
    <x:row r="28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  <x:c r="X28" s="29"/>
      <x:c r="Y28" s="29"/>
      <x:c r="Z28" s="29"/>
    </x:row>
    <x:row r="29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  <x:c r="X29" s="29"/>
      <x:c r="Y29" s="29"/>
      <x:c r="Z29" s="29"/>
    </x:row>
    <x:row r="30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  <x:c r="X30" s="29"/>
      <x:c r="Y30" s="29"/>
      <x:c r="Z30" s="29"/>
    </x:row>
    <x:row r="3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  <x:c r="X31" s="29"/>
      <x:c r="Y31" s="29"/>
      <x:c r="Z31" s="29"/>
    </x:row>
    <x:row r="32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  <x:c r="X32" s="29"/>
      <x:c r="Y32" s="29"/>
      <x:c r="Z32" s="29"/>
    </x:row>
    <x:row r="33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  <x:c r="Z33" s="29"/>
    </x:row>
    <x:row r="34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  <x:c r="X34" s="29"/>
      <x:c r="Y34" s="29"/>
      <x:c r="Z34" s="29"/>
    </x:row>
    <x:row r="35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29"/>
      <x:c r="Z35" s="29"/>
    </x:row>
    <x:row r="36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  <x:c r="Y36" s="29"/>
      <x:c r="Z36" s="29"/>
    </x:row>
    <x:row r="37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  <x:c r="Y37" s="29"/>
      <x:c r="Z37" s="29"/>
    </x:row>
    <x:row r="38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  <x:c r="X38" s="29"/>
      <x:c r="Y38" s="29"/>
      <x:c r="Z38" s="29"/>
    </x:row>
    <x:row r="39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  <x:c r="X39" s="29"/>
      <x:c r="Y39" s="29"/>
      <x:c r="Z39" s="29"/>
    </x:row>
    <x:row r="40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  <x:c r="Y40" s="29"/>
      <x:c r="Z40" s="29"/>
    </x:row>
    <x:row r="4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  <x:c r="X41" s="29"/>
      <x:c r="Y41" s="29"/>
      <x:c r="Z41" s="29"/>
    </x:row>
    <x:row r="42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  <x:c r="X42" s="29"/>
      <x:c r="Y42" s="29"/>
      <x:c r="Z42" s="29"/>
    </x:row>
    <x:row r="43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  <x:c r="X43" s="29"/>
      <x:c r="Y43" s="29"/>
      <x:c r="Z43" s="29"/>
    </x:row>
    <x:row r="44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  <x:c r="X44" s="29"/>
      <x:c r="Y44" s="29"/>
      <x:c r="Z44" s="29"/>
    </x:row>
    <x:row r="45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  <x:c r="X45" s="29"/>
      <x:c r="Y45" s="29"/>
      <x:c r="Z45" s="29"/>
    </x:row>
    <x:row r="46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  <x:c r="X46" s="29"/>
      <x:c r="Y46" s="29"/>
      <x:c r="Z46" s="29"/>
    </x:row>
    <x:row r="47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  <x:c r="X47" s="29"/>
      <x:c r="Y47" s="29"/>
      <x:c r="Z47" s="29"/>
    </x:row>
    <x:row r="48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  <x:c r="X48" s="29"/>
      <x:c r="Y48" s="29"/>
      <x:c r="Z48" s="29"/>
    </x:row>
    <x:row r="49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  <x:c r="X49" s="29"/>
      <x:c r="Y49" s="29"/>
      <x:c r="Z49" s="29"/>
    </x:row>
    <x:row r="50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  <x:c r="X50" s="29"/>
      <x:c r="Y50" s="29"/>
      <x:c r="Z50" s="29"/>
    </x:row>
    <x:row r="5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  <x:c r="X51" s="29"/>
      <x:c r="Y51" s="29"/>
      <x:c r="Z51" s="29"/>
    </x:row>
    <x:row r="52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  <x:c r="X52" s="29"/>
      <x:c r="Y52" s="29"/>
      <x:c r="Z52" s="29"/>
    </x:row>
    <x:row r="53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  <x:c r="X53" s="29"/>
      <x:c r="Y53" s="29"/>
      <x:c r="Z53" s="29"/>
    </x:row>
    <x:row r="54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  <x:c r="X54" s="29"/>
      <x:c r="Y54" s="29"/>
      <x:c r="Z54" s="29"/>
    </x:row>
    <x:row r="55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  <x:c r="X55" s="29"/>
      <x:c r="Y55" s="29"/>
      <x:c r="Z55" s="29"/>
    </x:row>
    <x:row r="56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  <x:c r="X56" s="29"/>
      <x:c r="Y56" s="29"/>
      <x:c r="Z56" s="29"/>
    </x:row>
    <x:row r="57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  <x:c r="X57" s="29"/>
      <x:c r="Y57" s="29"/>
      <x:c r="Z57" s="29"/>
    </x:row>
    <x:row r="58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  <x:c r="X58" s="29"/>
      <x:c r="Y58" s="29"/>
      <x:c r="Z58" s="29"/>
    </x:row>
    <x:row r="59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  <x:c r="X59" s="29"/>
      <x:c r="Y59" s="29"/>
      <x:c r="Z59" s="29"/>
    </x:row>
    <x:row r="60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  <x:c r="X60" s="29"/>
      <x:c r="Y60" s="29"/>
      <x:c r="Z60" s="29"/>
    </x:row>
    <x:row r="6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  <x:c r="X61" s="29"/>
      <x:c r="Y61" s="29"/>
      <x:c r="Z61" s="29"/>
    </x:row>
    <x:row r="62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  <x:c r="X62" s="29"/>
      <x:c r="Y62" s="29"/>
      <x:c r="Z62" s="29"/>
    </x:row>
    <x:row r="63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  <x:c r="X63" s="29"/>
      <x:c r="Y63" s="29"/>
      <x:c r="Z63" s="29"/>
    </x:row>
    <x:row r="64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  <x:c r="X64" s="29"/>
      <x:c r="Y64" s="29"/>
      <x:c r="Z64" s="29"/>
    </x:row>
    <x:row r="65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  <x:c r="X65" s="29"/>
      <x:c r="Y65" s="29"/>
      <x:c r="Z65" s="29"/>
    </x:row>
    <x:row r="66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  <x:c r="X66" s="29"/>
      <x:c r="Y66" s="29"/>
      <x:c r="Z66" s="29"/>
    </x:row>
    <x:row r="67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  <x:c r="X67" s="29"/>
      <x:c r="Y67" s="29"/>
      <x:c r="Z67" s="29"/>
    </x:row>
    <x:row r="68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  <x:c r="X68" s="29"/>
      <x:c r="Y68" s="29"/>
      <x:c r="Z68" s="29"/>
    </x:row>
    <x:row r="69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  <x:c r="X69" s="29"/>
      <x:c r="Y69" s="29"/>
      <x:c r="Z69" s="29"/>
    </x:row>
    <x:row r="70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  <x:c r="X70" s="29"/>
      <x:c r="Y70" s="29"/>
      <x:c r="Z70" s="29"/>
    </x:row>
    <x:row r="7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  <x:c r="X71" s="29"/>
      <x:c r="Y71" s="29"/>
      <x:c r="Z71" s="29"/>
    </x:row>
    <x:row r="72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  <x:c r="X72" s="29"/>
      <x:c r="Y72" s="29"/>
      <x:c r="Z72" s="29"/>
    </x:row>
    <x:row r="73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  <x:c r="X73" s="29"/>
      <x:c r="Y73" s="29"/>
      <x:c r="Z73" s="29"/>
    </x:row>
    <x:row r="74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  <x:c r="X74" s="29"/>
      <x:c r="Y74" s="29"/>
      <x:c r="Z74" s="29"/>
    </x:row>
    <x:row r="75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  <x:c r="X75" s="29"/>
      <x:c r="Y75" s="29"/>
      <x:c r="Z75" s="29"/>
    </x:row>
    <x:row r="76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  <x:c r="X76" s="29"/>
      <x:c r="Y76" s="29"/>
      <x:c r="Z76" s="29"/>
    </x:row>
    <x:row r="77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  <x:c r="X77" s="29"/>
      <x:c r="Y77" s="29"/>
      <x:c r="Z77" s="29"/>
    </x:row>
    <x:row r="78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  <x:c r="X78" s="29"/>
      <x:c r="Y78" s="29"/>
      <x:c r="Z78" s="29"/>
    </x:row>
    <x:row r="79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  <x:c r="X79" s="29"/>
      <x:c r="Y79" s="29"/>
      <x:c r="Z79" s="29"/>
    </x:row>
    <x:row r="80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  <x:c r="X80" s="29"/>
      <x:c r="Y80" s="29"/>
      <x:c r="Z80" s="29"/>
    </x:row>
    <x:row r="8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  <x:c r="X81" s="29"/>
      <x:c r="Y81" s="29"/>
      <x:c r="Z81" s="29"/>
    </x:row>
    <x:row r="82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  <x:c r="X82" s="29"/>
      <x:c r="Y82" s="29"/>
      <x:c r="Z82" s="29"/>
    </x:row>
    <x:row r="83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  <x:c r="X83" s="29"/>
      <x:c r="Y83" s="29"/>
      <x:c r="Z83" s="29"/>
    </x:row>
    <x:row r="84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  <x:c r="X84" s="29"/>
      <x:c r="Y84" s="29"/>
      <x:c r="Z84" s="29"/>
    </x:row>
    <x:row r="85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  <x:c r="X85" s="29"/>
      <x:c r="Y85" s="29"/>
      <x:c r="Z85" s="29"/>
    </x:row>
    <x:row r="86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  <x:c r="X86" s="29"/>
      <x:c r="Y86" s="29"/>
      <x:c r="Z86" s="29"/>
    </x:row>
    <x:row r="87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  <x:c r="X87" s="29"/>
      <x:c r="Y87" s="29"/>
      <x:c r="Z87" s="29"/>
    </x:row>
    <x:row r="88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  <x:c r="X88" s="29"/>
      <x:c r="Y88" s="29"/>
      <x:c r="Z88" s="29"/>
    </x:row>
    <x:row r="89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  <x:c r="X89" s="29"/>
      <x:c r="Y89" s="29"/>
      <x:c r="Z89" s="29"/>
    </x:row>
    <x:row r="90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  <x:c r="X90" s="29"/>
      <x:c r="Y90" s="29"/>
      <x:c r="Z90" s="29"/>
    </x:row>
    <x:row r="9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  <x:c r="X91" s="29"/>
      <x:c r="Y91" s="29"/>
      <x:c r="Z91" s="29"/>
    </x:row>
    <x:row r="92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  <x:c r="X92" s="29"/>
      <x:c r="Y92" s="29"/>
      <x:c r="Z92" s="29"/>
    </x:row>
    <x:row r="93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  <x:c r="X93" s="29"/>
      <x:c r="Y93" s="29"/>
      <x:c r="Z93" s="29"/>
    </x:row>
    <x:row r="94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  <x:c r="X94" s="29"/>
      <x:c r="Y94" s="29"/>
      <x:c r="Z94" s="29"/>
    </x:row>
    <x:row r="95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  <x:c r="X95" s="29"/>
      <x:c r="Y95" s="29"/>
      <x:c r="Z95" s="29"/>
    </x:row>
    <x:row r="96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  <x:c r="X96" s="29"/>
      <x:c r="Y96" s="29"/>
      <x:c r="Z96" s="29"/>
    </x:row>
    <x:row r="97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  <x:c r="X97" s="29"/>
      <x:c r="Y97" s="29"/>
      <x:c r="Z97" s="29"/>
    </x:row>
    <x:row r="98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  <x:c r="X98" s="29"/>
      <x:c r="Y98" s="29"/>
      <x:c r="Z98" s="29"/>
    </x:row>
    <x:row r="99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  <x:c r="X99" s="29"/>
      <x:c r="Y99" s="29"/>
      <x:c r="Z99" s="29"/>
    </x:row>
    <x:row r="100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  <x:c r="X100" s="29"/>
      <x:c r="Y100" s="29"/>
      <x:c r="Z100" s="29"/>
    </x:row>
  </x:sheetData>
  <x:mergeCells>
    <x:mergeCell ref="A1:G1"/>
  </x:mergeCells>
  <x:pageMargins left="0.7" right="0.7" top="0.75" bottom="0.75" header="0.3" footer="0.3"/>
</x:worksheet>
</file>

<file path=xl/worksheets/sheet26.xml><?xml version="1.0" encoding="utf-8"?>
<worksheet xmlns="http://schemas.openxmlformats.org/spreadsheetml/2006/main">
  <sheetFormatPr defaultRowHeight="15"/>
  <cols>
    <col min="1" max="1" width="22" hidden="0" customWidth="1"/>
    <col min="2" max="2" width="24" hidden="0" customWidth="1"/>
    <col min="3" max="3" width="54" hidden="0" customWidth="1"/>
    <col min="4" max="4" width="20" hidden="0" customWidth="1"/>
    <col min="5" max="5" width="38" hidden="0" customWidth="1"/>
    <col min="6" max="6" width="56" hidden="0" customWidth="1"/>
    <col min="7" max="7" width="18" hidden="0" customWidth="1"/>
    <col min="8" max="8" width="16" hidden="0" customWidth="1"/>
    <col min="9" max="9" width="86" hidden="0" customWidth="1"/>
  </cols>
  <sheetData>
    <row r="1">
      <c r="A1" t="str" s="4">
        <v>90_Evidence｜RPL_CUT_MALL</v>
      </c>
      <c r="B1" s="4"/>
      <c r="C1" s="4"/>
      <c r="D1" s="4"/>
      <c r="E1" s="4"/>
      <c r="F1" s="4"/>
      <c r="G1" s="4"/>
      <c r="H1" s="4"/>
      <c r="I1" s="4"/>
    </row>
    <row r="2">
      <c r="A2" t="str" s="17">
        <v>evidence_id</v>
      </c>
      <c r="B2" t="str" s="17">
        <v>source_type</v>
      </c>
      <c r="C2" t="str" s="17">
        <v>material_title</v>
      </c>
      <c r="D2" t="str" s="17">
        <v>publication/version</v>
      </c>
      <c r="E2" t="str" s="17">
        <v>page/sheet</v>
      </c>
      <c r="F2" t="str" s="17">
        <v>source</v>
      </c>
      <c r="G2" t="str" s="17">
        <v>checked_at</v>
      </c>
      <c r="H2" t="str" s="17">
        <v>confidence</v>
      </c>
      <c r="I2" t="str" s="17">
        <v>summary</v>
      </c>
    </row>
    <row r="3">
      <c r="A3" t="str" s="22">
        <v>CM-EV-001</v>
      </c>
      <c r="B3" t="str" s="22">
        <v>共通仕様</v>
      </c>
      <c r="C3" t="str" s="22">
        <v>サッシ商品マスター共通仕様書</v>
      </c>
      <c r="D3" t="str" s="22">
        <v>current</v>
      </c>
      <c r="E3" t="str" s="22">
        <v>参照型Master/状態/Dependency/QA</v>
      </c>
      <c r="F3" t="str" s="22">
        <v>Google Drive</v>
      </c>
      <c r="G3" t="str" s="22">
        <v>2026-09-01</v>
      </c>
      <c r="H3" t="str" s="22">
        <v>HIGH</v>
      </c>
      <c r="I3" t="str" s="22">
        <v>共通Master原則</v>
      </c>
    </row>
    <row r="4">
      <c r="A4" t="str" s="22">
        <v>CM-EV-002</v>
      </c>
      <c r="B4" t="str" s="22">
        <v>LIXIL公式カタログ</v>
      </c>
      <c r="C4" t="str" s="22">
        <v>リプラス 商品カタログ</v>
      </c>
      <c r="D4" t="str" s="22">
        <v>2025-08/2026現行</v>
      </c>
      <c r="E4" t="str" s="22">
        <v>P25/P203/P273等</v>
      </c>
      <c r="F4" t="str" s="22">
        <v>Drive:1wH1nhmsftl6y8Mp7y6twtoXSi6rxqxzT</v>
      </c>
      <c r="G4" t="str" s="22">
        <v>2026-09-01</v>
      </c>
      <c r="H4" t="str" s="22">
        <v>HIGH</v>
      </c>
      <c r="I4" t="str" s="22">
        <v>汎用カットモールの役割、対応新設商品、同品種制限</v>
      </c>
    </row>
    <row r="5">
      <c r="A5" t="str" s="22">
        <v>CM-EV-003</v>
      </c>
      <c r="B5" t="str" s="22">
        <v>商品Master正本</v>
      </c>
      <c r="C5" t="str" s="22">
        <v>サッシ商品マスター_v0.1</v>
      </c>
      <c r="D5" t="str" s="22">
        <v>integrated-v0.1</v>
      </c>
      <c r="E5" t="str" s="22">
        <v>03_窓種/03A_シリーズ窓種設定</v>
      </c>
      <c r="F5" t="str" s="22">
        <v>Drive:1ordbcPQS7XhptLMjRON2oxmdsPhs-aY-Wm7quPHvM9U</v>
      </c>
      <c r="G5" t="str" s="22">
        <v>2026-09-01</v>
      </c>
      <c r="H5" t="str" s="22">
        <v>HIGH</v>
      </c>
      <c r="I5" t="str" s="22">
        <v>TW正式ID</v>
      </c>
    </row>
    <row r="6">
      <c r="A6" t="str" s="22">
        <v>CM-EV-004</v>
      </c>
      <c r="B6" t="str" s="22">
        <v>商品Master正本</v>
      </c>
      <c r="C6" t="str" s="22">
        <v>サーモスⅡH_商品マスター_v0.7_完全完成版</v>
      </c>
      <c r="D6" t="str" s="22">
        <v>v0.7</v>
      </c>
      <c r="E6" t="str" s="22">
        <v>03_窓種/04_窓種固有仕様/06_サイズ</v>
      </c>
      <c r="F6" t="str" s="22">
        <v>Drive:1zHi-XsMqJp0MKH-sDoTcnTqkLMGcuRdo</v>
      </c>
      <c r="G6" t="str" s="22">
        <v>2026-09-01</v>
      </c>
      <c r="H6" t="str" s="22">
        <v>HIGH</v>
      </c>
      <c r="I6" t="str" s="22">
        <v>サーモスⅡ-H SSOT</v>
      </c>
    </row>
    <row r="7">
      <c r="A7" t="str" s="22">
        <v>CM-EV-005</v>
      </c>
      <c r="B7" t="str" s="22">
        <v>商品Master正本</v>
      </c>
      <c r="C7" t="str" s="22">
        <v>サーモスL_商品マスター_v0.7_特注寸法発注アプリ投入完成版_QA確定</v>
      </c>
      <c r="D7" t="str" s="22">
        <v>v0.7</v>
      </c>
      <c r="E7" t="str" s="22">
        <v>03_窓種/04_窓種固有仕様/06_サイズ</v>
      </c>
      <c r="F7" t="str" s="22">
        <v>Drive:17lVzBZ1hp4RVcGv0yNdnrKt25SFO2FhL</v>
      </c>
      <c r="G7" t="str" s="22">
        <v>2026-09-01</v>
      </c>
      <c r="H7" t="str" s="22">
        <v>HIGH</v>
      </c>
      <c r="I7" t="str" s="22">
        <v>サーモスL SSOT</v>
      </c>
    </row>
    <row r="8">
      <c r="A8" t="str" s="22">
        <v>CM-EV-006</v>
      </c>
      <c r="B8" t="str" s="22">
        <v>商品Master正本</v>
      </c>
      <c r="C8" t="str" s="22">
        <v>サーモスA_商品マスター_v0.7</v>
      </c>
      <c r="D8" t="str" s="22">
        <v>v0.7</v>
      </c>
      <c r="E8" t="str" s="22">
        <v>02_WINDOW_TYPE_MASTER/12_SIZE_MASTER/15_DEPENDENCY_RULE</v>
      </c>
      <c r="F8" t="str" s="22">
        <v>Drive:1cDEFzi0g1DzM5YoeGvZtHuXionD7tmFD</v>
      </c>
      <c r="G8" t="str" s="22">
        <v>2026-09-01</v>
      </c>
      <c r="H8" t="str" s="22">
        <v>HIGH</v>
      </c>
      <c r="I8" t="str" s="22">
        <v>サーモスA SSOT</v>
      </c>
    </row>
    <row r="9">
      <c r="A9" t="str" s="22">
        <v>CM-EV-007</v>
      </c>
      <c r="B9" t="str" s="22">
        <v>LIXIL公式納まり</v>
      </c>
      <c r="C9" t="str" s="22">
        <v>リプラス 汎用カットモール 基本寸法/納まり</v>
      </c>
      <c r="D9" t="str" s="22">
        <v>2026現行</v>
      </c>
      <c r="E9" t="str" s="22">
        <v>P189-193</v>
      </c>
      <c r="F9" t="str" s="22">
        <v>Drive:1wH1nhmsftl6y8Mp7y6twtoXSi6rxqxzT</v>
      </c>
      <c r="G9" t="str" s="22">
        <v>2026-09-01</v>
      </c>
      <c r="H9" t="str" s="22">
        <v>HIGH</v>
      </c>
      <c r="I9" t="str" s="22">
        <v>通常マド/テラス MW/MH、止水部材</v>
      </c>
    </row>
    <row r="10">
      <c r="A10" t="str" s="22">
        <v>CM-EV-008</v>
      </c>
      <c r="B10" t="str" s="22">
        <v>LIXIL公式納まり</v>
      </c>
      <c r="C10" t="str" s="22">
        <v>リプラス 汎用カットモール シャッター納まり</v>
      </c>
      <c r="D10" t="str" s="22">
        <v>2026現行</v>
      </c>
      <c r="E10" t="str" s="22">
        <v>P190-191</v>
      </c>
      <c r="F10" t="str" s="22">
        <v>Drive:1wH1nhmsftl6y8Mp7y6twtoXSi6rxqxzT</v>
      </c>
      <c r="G10" t="str" s="22">
        <v>2026-09-01</v>
      </c>
      <c r="H10" t="str" s="22">
        <v>HIGH</v>
      </c>
      <c r="I10" t="str" s="22">
        <v>シャッターMW/MH、シーリング</v>
      </c>
    </row>
    <row r="11">
      <c r="A11" t="str" s="22">
        <v>CM-EV-009</v>
      </c>
      <c r="B11" t="str" s="22">
        <v>LIXIL公式納まり</v>
      </c>
      <c r="C11" t="str" s="22">
        <v>リプラス 汎用カットモール 雨戸付納まり</v>
      </c>
      <c r="D11" t="str" s="22">
        <v>2026現行</v>
      </c>
      <c r="E11" t="str" s="22">
        <v>業務用資料/納まり</v>
      </c>
      <c r="F11" t="str" s="22">
        <v>Drive:1D1HPMXhOMYd_Lu10XNzzJR2TH3aDHVUr</v>
      </c>
      <c r="G11" t="str" s="22">
        <v>2026-09-01</v>
      </c>
      <c r="H11" t="str" s="22">
        <v>HIGH</v>
      </c>
      <c r="I11" t="str" s="22">
        <v>雨戸付MW/MH</v>
      </c>
    </row>
    <row r="12">
      <c r="A12" t="str" s="22">
        <v>CM-EV-010</v>
      </c>
      <c r="B12" t="str" s="22">
        <v>LIXIL公式現調</v>
      </c>
      <c r="C12" t="str" s="22">
        <v>リプラス 汎用カットモール 現場調査シート</v>
      </c>
      <c r="D12" t="str" s="22">
        <v>2026現行</v>
      </c>
      <c r="E12" t="str" s="22">
        <v>P276</v>
      </c>
      <c r="F12" t="str" s="22">
        <v>Drive:1wH1nhmsftl6y8Mp7y6twtoXSi6rxqxzT</v>
      </c>
      <c r="G12" t="str" s="22">
        <v>2026-09-01</v>
      </c>
      <c r="H12" t="str" s="22">
        <v>HIGH</v>
      </c>
      <c r="I12" t="str" s="22">
        <v>TW公式モール寸法：引違いMADO MW=W+16/MH=H+41、引違いTERRACE MW=W+16/MH=H+81、装飾MADO MW=W+16/MH=H+28、装飾TERRACE/採風勝手口/テラスドア MW=W+16/MH=H+68。</v>
      </c>
    </row>
    <row r="13">
      <c r="A13" t="str" s="22">
        <v>CM-EV-011</v>
      </c>
      <c r="B13" t="str" s="22">
        <v>LIXIL公式現調</v>
      </c>
      <c r="C13" t="str" s="22">
        <v>リプラス 現場調査マニュアル 汎用カットモール</v>
      </c>
      <c r="D13" t="str" s="22">
        <v>2026現行</v>
      </c>
      <c r="E13" t="str" s="22">
        <v>P273前後</v>
      </c>
      <c r="F13" t="str" s="22">
        <v>Drive:1wH1nhmsftl6y8Mp7y6twtoXSi6rxqxzT</v>
      </c>
      <c r="G13" t="str" s="22">
        <v>2026-09-01</v>
      </c>
      <c r="H13" t="str" s="22">
        <v>HIGH</v>
      </c>
      <c r="I13" t="str" s="22">
        <v>木造、a/b/c、壁切断、土間、下地</v>
      </c>
    </row>
    <row r="14">
      <c r="A14" t="str" s="22">
        <v>CM-EV-012</v>
      </c>
      <c r="B14" t="str" s="22">
        <v>LIXIL公式現調</v>
      </c>
      <c r="C14" t="str" s="22">
        <v>汎用カットモール 新設サッシ対応可否</v>
      </c>
      <c r="D14" t="str" s="22">
        <v>2026現行</v>
      </c>
      <c r="E14" t="str" s="22">
        <v>P273</v>
      </c>
      <c r="F14" t="str" s="22">
        <v>Drive:1wH1nhmsftl6y8Mp7y6twtoXSi6rxqxzT</v>
      </c>
      <c r="G14" t="str" s="22">
        <v>2026-09-01</v>
      </c>
      <c r="H14" t="str" s="22">
        <v>HIGH</v>
      </c>
      <c r="I14" t="str" s="22">
        <v>外付不可/4シリーズ</v>
      </c>
    </row>
    <row r="15">
      <c r="A15" t="str" s="22">
        <v>CM-EV-013</v>
      </c>
      <c r="B15" t="str" s="22">
        <v>LIXIL公式現調</v>
      </c>
      <c r="C15" t="str" s="22">
        <v>汎用カットモール 寸法変更・干渉条件</v>
      </c>
      <c r="D15" t="str" s="22">
        <v>2026現行</v>
      </c>
      <c r="E15" t="str" s="22">
        <v>現調注意</v>
      </c>
      <c r="F15" t="str" s="22">
        <v>Drive:1D1HPMXhOMYd_Lu10XNzzJR2TH3aDHVUr</v>
      </c>
      <c r="G15" t="str" s="22">
        <v>2026-09-01</v>
      </c>
      <c r="H15" t="str" s="22">
        <v>HIGH</v>
      </c>
      <c r="I15" t="str" s="22">
        <v>同寸基本、大きい=開口拡大、小さい不可、枠付面格子不可</v>
      </c>
    </row>
    <row r="16">
      <c r="A16" t="str" s="22">
        <v>CM-EV-014</v>
      </c>
      <c r="B16" t="str" s="22">
        <v>LIXIL公式価格/納まり</v>
      </c>
      <c r="C16" t="str" s="22">
        <v>カットモール用窓枠・内装調整アングル</v>
      </c>
      <c r="D16" t="str" s="22">
        <v>2026現行</v>
      </c>
      <c r="E16" t="str" s="22">
        <v>P273/納まり</v>
      </c>
      <c r="F16" t="str" s="22">
        <v>Drive:1wH1nhmsftl6y8Mp7y6twtoXSi6rxqxzT</v>
      </c>
      <c r="G16" t="str" s="22">
        <v>2026-09-01</v>
      </c>
      <c r="H16" t="str" s="22">
        <v>HIGH</v>
      </c>
      <c r="I16" t="str" s="22">
        <v>内装部材組合せ</v>
      </c>
    </row>
    <row r="17">
      <c r="A17" t="str" s="22">
        <v>CM-EV-015</v>
      </c>
      <c r="B17" t="str" s="22">
        <v>LIXIL公式カタログ</v>
      </c>
      <c r="C17" t="str" s="22">
        <v>リプラス 商品カタログ｜汎用カットモール カラーバリエーション</v>
      </c>
      <c r="D17" t="str" s="22">
        <v>2025-08/2026現行</v>
      </c>
      <c r="E17" t="str" s="22">
        <v>P47</v>
      </c>
      <c r="F17" t="str" s="22">
        <v>Drive:1wH1nhmsftl6y8Mp7y6twtoXSi6rxqxzT</v>
      </c>
      <c r="G17" t="str" s="22">
        <v>2026-09-01</v>
      </c>
      <c r="H17" t="str" s="22">
        <v>HIGH</v>
      </c>
      <c r="I17" t="str" s="22">
        <v>室外カットモール5色、カットモール用窓枠6色、新築用窓枠7色、内装調整アングル9色を公式掲載。</v>
      </c>
    </row>
    <row r="18">
      <c r="A18" t="str" s="22">
        <v>CM-EV-016</v>
      </c>
      <c r="B18" t="str" s="22">
        <v>成果物仕様</v>
      </c>
      <c r="C18" t="str" s="22">
        <v>成果物パッケージ・保管・完了ゲート仕様書 v2.0</v>
      </c>
      <c r="D18" t="str" s="22">
        <v>v2.0</v>
      </c>
      <c r="E18" t="str" s="22">
        <v>Authoring+Runtime+Documentation/APG/SG</v>
      </c>
      <c r="F18" t="str" s="22">
        <v>Drive:1onE_nzUJhj-w1VnvIS4IGW9YRAanpxm8Jp4WYkFrBFg</v>
      </c>
      <c r="G18" t="str" s="22">
        <v>2026-09-01</v>
      </c>
      <c r="H18" t="str" s="22">
        <v>HIGH</v>
      </c>
      <c r="I18" t="str" s="22">
        <v>Package Gate/Storage Gate</v>
      </c>
    </row>
    <row r="19">
      <c r="A19" t="str" s="22">
        <v>DELTA-CUT-WOOD-EV-V4</v>
      </c>
      <c r="B19" t="str" s="22">
        <v>公式業務用資料集</v>
      </c>
      <c r="C19" t="str" s="22">
        <v>IS9800</v>
      </c>
      <c r="D19" t="str" s="22">
        <v>2026-10</v>
      </c>
      <c r="E19" t="str" s="22">
        <v>PDF 122</v>
      </c>
      <c r="F19" t="str" s="22">
        <v>https://webcatalog.lixil.co.jp/cgi-bin/openCatalog.cgi?c=IS9800&amp;d=newinter</v>
      </c>
      <c r="G19" t="str" s="22">
        <v>2026-10-14</v>
      </c>
      <c r="H19" t="str" s="22">
        <v>HIGH</v>
      </c>
      <c r="I19" t="str" s="22">
        <v>UPDATE_CUT_MALL_WINDOW_FRAME_COLOR_ONLY / NEW_CANDIDATE、Current未採用</v>
      </c>
    </row>
    <row r="20">
      <c r="A20" t="str" s="22">
        <v>REF-TW-CURRENT-20261009-V4</v>
      </c>
      <c r="B20" t="str" s="22">
        <v>Current正本参照</v>
      </c>
      <c r="C20" t="str" s="22">
        <v>integrated-v0.5 Current Authoring</v>
      </c>
      <c r="D20" t="str" s="22">
        <v>2026-10-14</v>
      </c>
      <c r="E20" t="str" s="22">
        <v>固定参照ID/SHA</v>
      </c>
      <c r="F20" t="str" s="22">
        <v>https://drive.google.com/file/d/10-ygy_wcdXN2u9brqU1AhucboJv5N5qk/view</v>
      </c>
      <c r="G20" t="str" s="22">
        <v>2026-10-14</v>
      </c>
      <c r="H20" t="str" s="22">
        <v>HIGH</v>
      </c>
      <c r="I20" t="str" s="22">
        <v>5062503d3387999c2eed0862b3386e5248ae131008cbc37975956d709d598ba6</v>
      </c>
    </row>
    <row r="21">
      <c r="A21" t="str" s="22">
        <v>REF-S2-CURRENT-20261009-V4</v>
      </c>
      <c r="B21" t="str" s="22">
        <v>Current正本参照</v>
      </c>
      <c r="C21" t="str" s="22">
        <v>v0.9-R4 Current Authoring</v>
      </c>
      <c r="D21" t="str" s="22">
        <v>2026-10-14</v>
      </c>
      <c r="E21" t="str" s="22">
        <v>固定参照ID/SHA</v>
      </c>
      <c r="F21" t="str" s="22">
        <v>https://drive.google.com/file/d/1_p-xJ9Mv7FecoR8Me0E43f3LEEkpVQSP/view</v>
      </c>
      <c r="G21" t="str" s="22">
        <v>2026-10-14</v>
      </c>
      <c r="H21" t="str" s="22">
        <v>HIGH</v>
      </c>
      <c r="I21" t="str" s="22">
        <v>eeb285689a1e8a78469d5d13d1e015083d7f2e71ab274427dcfd413e33adc8e4</v>
      </c>
    </row>
    <row r="22">
      <c r="A22" t="str" s="22">
        <v>REF-SL-CURRENT-20261009-V4</v>
      </c>
      <c r="B22" t="str" s="22">
        <v>Current正本参照</v>
      </c>
      <c r="C22" t="str" s="22">
        <v>v0.7-R3 Current Authoring</v>
      </c>
      <c r="D22" t="str" s="22">
        <v>2026-10-14</v>
      </c>
      <c r="E22" t="str" s="22">
        <v>固定参照ID/SHA</v>
      </c>
      <c r="F22" t="str" s="22">
        <v>https://drive.google.com/file/d/19sjSAPwyd30fF5akazldGs0wkhOGZF9v/view</v>
      </c>
      <c r="G22" t="str" s="22">
        <v>2026-10-14</v>
      </c>
      <c r="H22" t="str" s="22">
        <v>HIGH</v>
      </c>
      <c r="I22" t="str" s="22">
        <v>42a1a159c199ac0290f4862b20381abf2450b686ae8a8a2abdaa2d428a8c73f8</v>
      </c>
    </row>
    <row r="23">
      <c r="A23" t="str" s="22">
        <v>REF-A-CURRENT-20261009-V4</v>
      </c>
      <c r="B23" t="str" s="22">
        <v>Current正本参照</v>
      </c>
      <c r="C23" t="str" s="22">
        <v>v0.7 Current Authoring</v>
      </c>
      <c r="D23" t="str" s="22">
        <v>2026-10-14</v>
      </c>
      <c r="E23" t="str" s="22">
        <v>固定参照ID/SHA</v>
      </c>
      <c r="F23" t="str" s="22">
        <v>https://drive.google.com/file/d/1cDEFzi0g1DzM5YoeGvZtHuXionD7tmFD/view</v>
      </c>
      <c r="G23" t="str" s="22">
        <v>2026-10-14</v>
      </c>
      <c r="H23" t="str" s="22">
        <v>HIGH</v>
      </c>
      <c r="I23" t="str" s="22">
        <v>1aae676ab404e9110ec6bb5aab522c6c0dc2fdc856a0d7c734fd2561fc5dfe47</v>
      </c>
    </row>
    <row r="24">
      <c r="A24" t="str" s="22">
        <v>EV-V5-CUT-EXTERNAL</v>
      </c>
      <c r="B24" t="str" s="22">
        <v>公式カタログ</v>
      </c>
      <c r="C24" t="str" s="22">
        <v>SN1200</v>
      </c>
      <c r="D24" t="str" s="22">
        <v>2025-08</v>
      </c>
      <c r="E24" t="str" s="22">
        <v>PDF277/280 印刷273/276</v>
      </c>
      <c r="F24" t="str" s="22">
        <v>https://drive.google.com/file/d/1wH1nhmsftl6y8Mp7y6twtoXSi6rxqxzT/view</v>
      </c>
      <c r="G24" t="str" s="22">
        <v>2026-10-14</v>
      </c>
      <c r="H24" t="str" s="22">
        <v>HIGH</v>
      </c>
      <c r="I24" t="str" s="22">
        <v>外付→外付新設、雨戸は鏡板付戸袋のみ、取付幅W+c。自動施工可にしない</v>
      </c>
    </row>
  </sheetData>
  <mergeCells>
    <mergeCell ref="A1:I1"/>
  </mergeCells>
  <pageMargins left="0.7" right="0.7" top="0.75" bottom="0.75" header="0.3" footer="0.3"/>
</worksheet>
</file>

<file path=xl/worksheets/sheet2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32" hidden="0" customWidth="1"/>
    <x:col min="4" max="4" width="54" hidden="0" customWidth="1"/>
    <x:col min="5" max="5" width="28" hidden="0" customWidth="1"/>
    <x:col min="6" max="6" width="24" hidden="0" customWidth="1"/>
  </x:cols>
  <x:sheetData>
    <x:row r="1">
      <x:c r="A1" s="28" t="str">
        <x:v>99_QA｜RPL_CUT_MALL Authoring Gate</x:v>
      </x:c>
      <x:c r="B1" s="28"/>
      <x:c r="C1" s="28"/>
      <x:c r="D1" s="28"/>
      <x:c r="E1" s="28"/>
      <x:c r="F1" s="28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>
      <x:c r="A2" s="31" t="str">
        <x:v>qa_id</x:v>
      </x:c>
      <x:c r="B2" s="31" t="str">
        <x:v>item</x:v>
      </x:c>
      <x:c r="C2" s="31" t="str">
        <x:v>status</x:v>
      </x:c>
      <x:c r="D2" s="31" t="str">
        <x:v>result</x:v>
      </x:c>
      <x:c r="E2" s="31" t="str">
        <x:v>note</x:v>
      </x:c>
      <x:c r="F2" s="31" t="str">
        <x:v>evidence</x:v>
      </x:c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29"/>
      <x:c r="Y2" s="29"/>
      <x:c r="Z2" s="29"/>
    </x:row>
    <x:row r="3">
      <x:c r="A3" s="32" t="str">
        <x:v>CM-QA-01</x:v>
      </x:c>
      <x:c r="B3" s="32" t="str">
        <x:v>installation_system</x:v>
      </x:c>
      <x:c r="C3" s="32" t="str">
        <x:v>COMPLETE</x:v>
      </x:c>
      <x:c r="D3" s="32" t="str">
        <x:v>RPL_CUT_MALL</x:v>
      </x:c>
      <x:c r="E3" s="32" t="str"/>
      <x:c r="F3" s="32" t="str">
        <x:v>CM-EV-002</x:v>
      </x:c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>
      <x:c r="A4" s="32" t="str">
        <x:v>CM-QA-02</x:v>
      </x:c>
      <x:c r="B4" s="32" t="str">
        <x:v>商品役割</x:v>
      </x:c>
      <x:c r="C4" s="32" t="str">
        <x:v>COMPLETE</x:v>
      </x:c>
      <x:c r="D4" s="32" t="str">
        <x:v>壁切断＋既設枠撤去＋新設＋モール</x:v>
      </x:c>
      <x:c r="E4" s="32" t="str"/>
      <x:c r="F4" s="32" t="str">
        <x:v>CM-EV-002</x:v>
      </x:c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  <x:c r="R4" s="29"/>
      <x:c r="S4" s="29"/>
      <x:c r="T4" s="29"/>
      <x:c r="U4" s="29"/>
      <x:c r="V4" s="29"/>
      <x:c r="W4" s="29"/>
      <x:c r="X4" s="29"/>
      <x:c r="Y4" s="29"/>
      <x:c r="Z4" s="29"/>
    </x:row>
    <x:row r="5">
      <x:c r="A5" s="32" t="str">
        <x:v>CM-QA-03</x:v>
      </x:c>
      <x:c r="B5" s="32" t="str">
        <x:v>参照4シリーズ</x:v>
      </x:c>
      <x:c r="C5" s="32" t="str">
        <x:v>COMPLETE</x:v>
      </x:c>
      <x:c r="D5" s="32" t="str">
        <x:v>TW/S2H/SL/SA</x:v>
      </x:c>
      <x:c r="E5" s="32" t="str"/>
      <x:c r="F5" s="32" t="str">
        <x:v>CM-EV-002～006</x:v>
      </x:c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  <x:c r="R5" s="29"/>
      <x:c r="S5" s="29"/>
      <x:c r="T5" s="29"/>
      <x:c r="U5" s="29"/>
      <x:c r="V5" s="29"/>
      <x:c r="W5" s="29"/>
      <x:c r="X5" s="29"/>
      <x:c r="Y5" s="29"/>
      <x:c r="Z5" s="29"/>
    </x:row>
    <x:row r="6">
      <x:c r="A6" s="32" t="str">
        <x:v>CM-QA-04</x:v>
      </x:c>
      <x:c r="B6" s="32" t="str">
        <x:v>対応窓種</x:v>
      </x:c>
      <x:c r="C6" s="32" t="str">
        <x:v>COMPLETE</x:v>
      </x:c>
      <x:c r="D6" s="32" t="str">
        <x:v>公式対応×正本activeのみ</x:v>
      </x:c>
      <x:c r="E6" s="32" t="str"/>
      <x:c r="F6" s="32" t="str">
        <x:v>03_対応窓種</x:v>
      </x:c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  <x:c r="R6" s="29"/>
      <x:c r="S6" s="29"/>
      <x:c r="T6" s="29"/>
      <x:c r="U6" s="29"/>
      <x:c r="V6" s="29"/>
      <x:c r="W6" s="29"/>
      <x:c r="X6" s="29"/>
      <x:c r="Y6" s="29"/>
      <x:c r="Z6" s="29"/>
    </x:row>
    <x:row r="7">
      <x:c r="A7" s="32" t="str">
        <x:v>CM-QA-05</x:v>
      </x:c>
      <x:c r="B7" s="32" t="str">
        <x:v>寸法式</x:v>
      </x:c>
      <x:c r="C7" s="32" t="str">
        <x:v>COMPLETE</x:v>
      </x:c>
      <x:c r="D7" s="32" t="str">
        <x:v>サーモス系・TW公式式を自動化</x:v>
      </x:c>
      <x:c r="E7" s="32" t="str"/>
      <x:c r="F7" s="32" t="str">
        <x:v>05B_カットモール寸法</x:v>
      </x:c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  <x:c r="R7" s="29"/>
      <x:c r="S7" s="29"/>
      <x:c r="T7" s="29"/>
      <x:c r="U7" s="29"/>
      <x:c r="V7" s="29"/>
      <x:c r="W7" s="29"/>
      <x:c r="X7" s="29"/>
      <x:c r="Y7" s="29"/>
      <x:c r="Z7" s="29"/>
    </x:row>
    <x:row r="8">
      <x:c r="A8" s="32" t="str">
        <x:v>CM-QA-06</x:v>
      </x:c>
      <x:c r="B8" s="32" t="str">
        <x:v>建物構造</x:v>
      </x:c>
      <x:c r="C8" s="32" t="str">
        <x:v>COMPLETE</x:v>
      </x:c>
      <x:c r="D8" s="32" t="str">
        <x:v>木造のみ</x:v>
      </x:c>
      <x:c r="E8" s="32" t="str"/>
      <x:c r="F8" s="32" t="str">
        <x:v>CM-EV-011</x:v>
      </x:c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  <x:c r="X8" s="29"/>
      <x:c r="Y8" s="29"/>
      <x:c r="Z8" s="29"/>
    </x:row>
    <x:row r="9">
      <x:c r="A9" s="32" t="str">
        <x:v>CM-QA-07</x:v>
      </x:c>
      <x:c r="B9" s="32" t="str">
        <x:v>施工スペース</x:v>
      </x:c>
      <x:c r="C9" s="32" t="str">
        <x:v>COMPLETE</x:v>
      </x:c>
      <x:c r="D9" s="32" t="str">
        <x:v>125/125/110</x:v>
      </x:c>
      <x:c r="E9" s="32" t="str"/>
      <x:c r="F9" s="32" t="str">
        <x:v>CM-EV-011</x:v>
      </x:c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  <x:c r="X9" s="29"/>
      <x:c r="Y9" s="29"/>
      <x:c r="Z9" s="29"/>
    </x:row>
    <x:row r="10">
      <x:c r="A10" s="32" t="str">
        <x:v>CM-QA-08</x:v>
      </x:c>
      <x:c r="B10" s="32" t="str">
        <x:v>壁切断/土間</x:v>
      </x:c>
      <x:c r="C10" s="32" t="str">
        <x:v>COMPLETE</x:v>
      </x:c>
      <x:c r="D10" s="32" t="str">
        <x:v>75未満/土間不可</x:v>
      </x:c>
      <x:c r="E10" s="32" t="str"/>
      <x:c r="F10" s="32" t="str">
        <x:v>CM-EV-011</x:v>
      </x:c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  <x:c r="X10" s="29"/>
      <x:c r="Y10" s="29"/>
      <x:c r="Z10" s="29"/>
    </x:row>
    <x:row r="11">
      <x:c r="A11" s="32" t="str">
        <x:v>CM-QA-09</x:v>
      </x:c>
      <x:c r="B11" s="32" t="str">
        <x:v>施工部材</x:v>
      </x:c>
      <x:c r="C11" s="32" t="str">
        <x:v>COMPLETE</x:v>
      </x:c>
      <x:c r="D11" s="32" t="str">
        <x:v>テープ/止水/内装部材</x:v>
      </x:c>
      <x:c r="E11" s="32" t="str"/>
      <x:c r="F11" s="32" t="str">
        <x:v>09_施工部材</x:v>
      </x:c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  <x:c r="Z11" s="29"/>
    </x:row>
    <x:row r="12">
      <x:c r="A12" s="32" t="str">
        <x:v>CM-QA-10</x:v>
      </x:c>
      <x:c r="B12" s="32" t="str">
        <x:v>本体仕様責任分界</x:v>
      </x:c>
      <x:c r="C12" s="32" t="str">
        <x:v>COMPLETE</x:v>
      </x:c>
      <x:c r="D12" s="32" t="str">
        <x:v>正本SSOT</x:v>
      </x:c>
      <x:c r="E12" s="32" t="str"/>
      <x:c r="F12" s="32" t="str">
        <x:v>CM-EV-003～006</x:v>
      </x:c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  <x:c r="Z12" s="29"/>
    </x:row>
    <x:row r="13">
      <x:c r="A13" s="32" t="str">
        <x:v>CM-QA-11</x:v>
      </x:c>
      <x:c r="B13" s="32" t="str">
        <x:v>Golden Test</x:v>
      </x:c>
      <x:c r="C13" s="32" t="str">
        <x:v>COMPLETE</x:v>
      </x:c>
      <x:c r="D13" s="32" t="str">
        <x:v>2 PASS + 1 REJECT/HIDE</x:v>
      </x:c>
      <x:c r="E13" s="32" t="str"/>
      <x:c r="F13" s="32" t="str">
        <x:v>11_見積入力テスト</x:v>
      </x:c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  <x:c r="Z13" s="29"/>
    </x:row>
    <x:row r="14">
      <x:c r="A14" s="32" t="str">
        <x:v>CM-QA-12</x:v>
      </x:c>
      <x:c r="B14" s="32" t="str">
        <x:v>特殊性能</x:v>
      </x:c>
      <x:c r="C14" s="32" t="str">
        <x:v>COMPLETE_WITH_EXTERNAL_CHECK</x:v>
      </x:c>
      <x:c r="D14" s="32" t="str">
        <x:v>耐風/ガラス荷重/特殊躯体</x:v>
      </x:c>
      <x:c r="E14" s="32" t="str"/>
      <x:c r="F14" s="32" t="str">
        <x:v>CM-EV-001</x:v>
      </x:c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  <x:c r="Z14" s="29"/>
    </x:row>
    <x:row r="15">
      <x:c r="A15" s="32" t="str">
        <x:v>CM-QA-13</x:v>
      </x:c>
      <x:c r="B15" s="32" t="str">
        <x:v>review_gate_pending_count</x:v>
      </x:c>
      <x:c r="C15" s="32" t="str">
        <x:v>COMPLETE</x:v>
      </x:c>
      <x:c r="D15" s="32" t="str">
        <x:v>0</x:v>
      </x:c>
      <x:c r="E15" s="32" t="str"/>
      <x:c r="F15" s="32" t="str">
        <x:v>全シート検索</x:v>
      </x:c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</x:row>
    <x:row r="16">
      <x:c r="A16" s="32" t="str">
        <x:v>CM-QA-14</x:v>
      </x:c>
      <x:c r="B16" s="32" t="str">
        <x:v>verification_pending_count</x:v>
      </x:c>
      <x:c r="C16" s="32" t="str">
        <x:v>COMPLETE</x:v>
      </x:c>
      <x:c r="D16" s="32" t="str">
        <x:v>0</x:v>
      </x:c>
      <x:c r="E16" s="32" t="str"/>
      <x:c r="F16" s="32" t="str">
        <x:v>全シート検索</x:v>
      </x:c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  <x:c r="X16" s="29"/>
      <x:c r="Y16" s="29"/>
      <x:c r="Z16" s="29"/>
    </x:row>
    <x:row r="17">
      <x:c r="A17" s="32" t="str">
        <x:v>CM-QA-15</x:v>
      </x:c>
      <x:c r="B17" s="32" t="str">
        <x:v>数式エラー</x:v>
      </x:c>
      <x:c r="C17" s="32" t="str">
        <x:v>COMPLETE</x:v>
      </x:c>
      <x:c r="D17" s="32" t="str">
        <x:v>0</x:v>
      </x:c>
      <x:c r="E17" s="32" t="str"/>
      <x:c r="F17" s="32" t="str">
        <x:v>全シート検索</x:v>
      </x:c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  <x:c r="X17" s="29"/>
      <x:c r="Y17" s="29"/>
      <x:c r="Z17" s="29"/>
    </x:row>
    <x:row r="18">
      <x:c r="A18" s="32" t="str">
        <x:v>CM-QA-16</x:v>
      </x:c>
      <x:c r="B18" s="32" t="str">
        <x:v>Authoring Content Gate</x:v>
      </x:c>
      <x:c r="C18" s="32" t="str">
        <x:v>PASS</x:v>
      </x:c>
      <x:c r="D18" s="32" t="str">
        <x:v>通常見積必須PENDING=0</x:v>
      </x:c>
      <x:c r="E18" s="32" t="str"/>
      <x:c r="F18" s="32" t="str">
        <x:v>CM-EV-016</x:v>
      </x:c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  <x:c r="X18" s="29"/>
      <x:c r="Y18" s="29"/>
      <x:c r="Z18" s="29"/>
    </x:row>
    <x:row r="19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  <x:c r="X19" s="29"/>
      <x:c r="Y19" s="29"/>
      <x:c r="Z19" s="29"/>
    </x:row>
    <x:row r="20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  <x:c r="X20" s="29"/>
      <x:c r="Y20" s="29"/>
      <x:c r="Z20" s="29"/>
    </x:row>
    <x:row r="2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  <x:c r="X21" s="29"/>
      <x:c r="Y21" s="29"/>
      <x:c r="Z21" s="29"/>
    </x:row>
    <x:row r="22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  <x:c r="X22" s="29"/>
      <x:c r="Y22" s="29"/>
      <x:c r="Z22" s="29"/>
    </x:row>
    <x:row r="23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  <x:c r="Y23" s="29"/>
      <x:c r="Z23" s="29"/>
    </x:row>
    <x:row r="24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  <x:c r="X24" s="29"/>
      <x:c r="Y24" s="29"/>
      <x:c r="Z24" s="29"/>
    </x:row>
    <x:row r="25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</x:row>
    <x:row r="26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  <x:c r="X26" s="29"/>
      <x:c r="Y26" s="29"/>
      <x:c r="Z26" s="29"/>
    </x:row>
    <x:row r="27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  <x:c r="X27" s="29"/>
      <x:c r="Y27" s="29"/>
      <x:c r="Z27" s="29"/>
    </x:row>
    <x:row r="28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  <x:c r="X28" s="29"/>
      <x:c r="Y28" s="29"/>
      <x:c r="Z28" s="29"/>
    </x:row>
    <x:row r="29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  <x:c r="X29" s="29"/>
      <x:c r="Y29" s="29"/>
      <x:c r="Z29" s="29"/>
    </x:row>
    <x:row r="30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  <x:c r="X30" s="29"/>
      <x:c r="Y30" s="29"/>
      <x:c r="Z30" s="29"/>
    </x:row>
    <x:row r="3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  <x:c r="X31" s="29"/>
      <x:c r="Y31" s="29"/>
      <x:c r="Z31" s="29"/>
    </x:row>
    <x:row r="32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  <x:c r="X32" s="29"/>
      <x:c r="Y32" s="29"/>
      <x:c r="Z32" s="29"/>
    </x:row>
    <x:row r="33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  <x:c r="Z33" s="29"/>
    </x:row>
    <x:row r="34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  <x:c r="X34" s="29"/>
      <x:c r="Y34" s="29"/>
      <x:c r="Z34" s="29"/>
    </x:row>
    <x:row r="35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29"/>
      <x:c r="Z35" s="29"/>
    </x:row>
    <x:row r="36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  <x:c r="Y36" s="29"/>
      <x:c r="Z36" s="29"/>
    </x:row>
    <x:row r="37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  <x:c r="Y37" s="29"/>
      <x:c r="Z37" s="29"/>
    </x:row>
    <x:row r="38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  <x:c r="X38" s="29"/>
      <x:c r="Y38" s="29"/>
      <x:c r="Z38" s="29"/>
    </x:row>
    <x:row r="39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  <x:c r="X39" s="29"/>
      <x:c r="Y39" s="29"/>
      <x:c r="Z39" s="29"/>
    </x:row>
    <x:row r="40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  <x:c r="Y40" s="29"/>
      <x:c r="Z40" s="29"/>
    </x:row>
    <x:row r="4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  <x:c r="X41" s="29"/>
      <x:c r="Y41" s="29"/>
      <x:c r="Z41" s="29"/>
    </x:row>
    <x:row r="42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  <x:c r="X42" s="29"/>
      <x:c r="Y42" s="29"/>
      <x:c r="Z42" s="29"/>
    </x:row>
    <x:row r="43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  <x:c r="X43" s="29"/>
      <x:c r="Y43" s="29"/>
      <x:c r="Z43" s="29"/>
    </x:row>
    <x:row r="44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  <x:c r="X44" s="29"/>
      <x:c r="Y44" s="29"/>
      <x:c r="Z44" s="29"/>
    </x:row>
    <x:row r="45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  <x:c r="X45" s="29"/>
      <x:c r="Y45" s="29"/>
      <x:c r="Z45" s="29"/>
    </x:row>
    <x:row r="46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  <x:c r="X46" s="29"/>
      <x:c r="Y46" s="29"/>
      <x:c r="Z46" s="29"/>
    </x:row>
    <x:row r="47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  <x:c r="X47" s="29"/>
      <x:c r="Y47" s="29"/>
      <x:c r="Z47" s="29"/>
    </x:row>
    <x:row r="48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  <x:c r="X48" s="29"/>
      <x:c r="Y48" s="29"/>
      <x:c r="Z48" s="29"/>
    </x:row>
    <x:row r="49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  <x:c r="X49" s="29"/>
      <x:c r="Y49" s="29"/>
      <x:c r="Z49" s="29"/>
    </x:row>
    <x:row r="50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  <x:c r="X50" s="29"/>
      <x:c r="Y50" s="29"/>
      <x:c r="Z50" s="29"/>
    </x:row>
    <x:row r="5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  <x:c r="X51" s="29"/>
      <x:c r="Y51" s="29"/>
      <x:c r="Z51" s="29"/>
    </x:row>
    <x:row r="52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  <x:c r="X52" s="29"/>
      <x:c r="Y52" s="29"/>
      <x:c r="Z52" s="29"/>
    </x:row>
    <x:row r="53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  <x:c r="X53" s="29"/>
      <x:c r="Y53" s="29"/>
      <x:c r="Z53" s="29"/>
    </x:row>
    <x:row r="54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  <x:c r="X54" s="29"/>
      <x:c r="Y54" s="29"/>
      <x:c r="Z54" s="29"/>
    </x:row>
    <x:row r="55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  <x:c r="X55" s="29"/>
      <x:c r="Y55" s="29"/>
      <x:c r="Z55" s="29"/>
    </x:row>
    <x:row r="56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  <x:c r="X56" s="29"/>
      <x:c r="Y56" s="29"/>
      <x:c r="Z56" s="29"/>
    </x:row>
    <x:row r="57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  <x:c r="X57" s="29"/>
      <x:c r="Y57" s="29"/>
      <x:c r="Z57" s="29"/>
    </x:row>
    <x:row r="58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  <x:c r="X58" s="29"/>
      <x:c r="Y58" s="29"/>
      <x:c r="Z58" s="29"/>
    </x:row>
    <x:row r="59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  <x:c r="X59" s="29"/>
      <x:c r="Y59" s="29"/>
      <x:c r="Z59" s="29"/>
    </x:row>
    <x:row r="60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  <x:c r="X60" s="29"/>
      <x:c r="Y60" s="29"/>
      <x:c r="Z60" s="29"/>
    </x:row>
    <x:row r="6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  <x:c r="X61" s="29"/>
      <x:c r="Y61" s="29"/>
      <x:c r="Z61" s="29"/>
    </x:row>
    <x:row r="62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  <x:c r="X62" s="29"/>
      <x:c r="Y62" s="29"/>
      <x:c r="Z62" s="29"/>
    </x:row>
    <x:row r="63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  <x:c r="X63" s="29"/>
      <x:c r="Y63" s="29"/>
      <x:c r="Z63" s="29"/>
    </x:row>
    <x:row r="64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  <x:c r="X64" s="29"/>
      <x:c r="Y64" s="29"/>
      <x:c r="Z64" s="29"/>
    </x:row>
    <x:row r="65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  <x:c r="X65" s="29"/>
      <x:c r="Y65" s="29"/>
      <x:c r="Z65" s="29"/>
    </x:row>
    <x:row r="66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  <x:c r="X66" s="29"/>
      <x:c r="Y66" s="29"/>
      <x:c r="Z66" s="29"/>
    </x:row>
    <x:row r="67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  <x:c r="X67" s="29"/>
      <x:c r="Y67" s="29"/>
      <x:c r="Z67" s="29"/>
    </x:row>
    <x:row r="68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  <x:c r="X68" s="29"/>
      <x:c r="Y68" s="29"/>
      <x:c r="Z68" s="29"/>
    </x:row>
    <x:row r="69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  <x:c r="X69" s="29"/>
      <x:c r="Y69" s="29"/>
      <x:c r="Z69" s="29"/>
    </x:row>
    <x:row r="70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  <x:c r="X70" s="29"/>
      <x:c r="Y70" s="29"/>
      <x:c r="Z70" s="29"/>
    </x:row>
    <x:row r="7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  <x:c r="X71" s="29"/>
      <x:c r="Y71" s="29"/>
      <x:c r="Z71" s="29"/>
    </x:row>
    <x:row r="72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  <x:c r="X72" s="29"/>
      <x:c r="Y72" s="29"/>
      <x:c r="Z72" s="29"/>
    </x:row>
    <x:row r="73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  <x:c r="X73" s="29"/>
      <x:c r="Y73" s="29"/>
      <x:c r="Z73" s="29"/>
    </x:row>
    <x:row r="74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  <x:c r="X74" s="29"/>
      <x:c r="Y74" s="29"/>
      <x:c r="Z74" s="29"/>
    </x:row>
    <x:row r="75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  <x:c r="X75" s="29"/>
      <x:c r="Y75" s="29"/>
      <x:c r="Z75" s="29"/>
    </x:row>
    <x:row r="76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  <x:c r="X76" s="29"/>
      <x:c r="Y76" s="29"/>
      <x:c r="Z76" s="29"/>
    </x:row>
    <x:row r="77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  <x:c r="X77" s="29"/>
      <x:c r="Y77" s="29"/>
      <x:c r="Z77" s="29"/>
    </x:row>
    <x:row r="78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  <x:c r="X78" s="29"/>
      <x:c r="Y78" s="29"/>
      <x:c r="Z78" s="29"/>
    </x:row>
    <x:row r="79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  <x:c r="X79" s="29"/>
      <x:c r="Y79" s="29"/>
      <x:c r="Z79" s="29"/>
    </x:row>
    <x:row r="80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  <x:c r="X80" s="29"/>
      <x:c r="Y80" s="29"/>
      <x:c r="Z80" s="29"/>
    </x:row>
    <x:row r="8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  <x:c r="X81" s="29"/>
      <x:c r="Y81" s="29"/>
      <x:c r="Z81" s="29"/>
    </x:row>
    <x:row r="82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  <x:c r="X82" s="29"/>
      <x:c r="Y82" s="29"/>
      <x:c r="Z82" s="29"/>
    </x:row>
    <x:row r="83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  <x:c r="X83" s="29"/>
      <x:c r="Y83" s="29"/>
      <x:c r="Z83" s="29"/>
    </x:row>
    <x:row r="84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  <x:c r="X84" s="29"/>
      <x:c r="Y84" s="29"/>
      <x:c r="Z84" s="29"/>
    </x:row>
    <x:row r="85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  <x:c r="X85" s="29"/>
      <x:c r="Y85" s="29"/>
      <x:c r="Z85" s="29"/>
    </x:row>
    <x:row r="86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  <x:c r="X86" s="29"/>
      <x:c r="Y86" s="29"/>
      <x:c r="Z86" s="29"/>
    </x:row>
    <x:row r="87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  <x:c r="X87" s="29"/>
      <x:c r="Y87" s="29"/>
      <x:c r="Z87" s="29"/>
    </x:row>
    <x:row r="88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  <x:c r="X88" s="29"/>
      <x:c r="Y88" s="29"/>
      <x:c r="Z88" s="29"/>
    </x:row>
    <x:row r="89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  <x:c r="X89" s="29"/>
      <x:c r="Y89" s="29"/>
      <x:c r="Z89" s="29"/>
    </x:row>
    <x:row r="90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  <x:c r="X90" s="29"/>
      <x:c r="Y90" s="29"/>
      <x:c r="Z90" s="29"/>
    </x:row>
    <x:row r="9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  <x:c r="X91" s="29"/>
      <x:c r="Y91" s="29"/>
      <x:c r="Z91" s="29"/>
    </x:row>
    <x:row r="92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  <x:c r="X92" s="29"/>
      <x:c r="Y92" s="29"/>
      <x:c r="Z92" s="29"/>
    </x:row>
    <x:row r="93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  <x:c r="X93" s="29"/>
      <x:c r="Y93" s="29"/>
      <x:c r="Z93" s="29"/>
    </x:row>
    <x:row r="94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  <x:c r="X94" s="29"/>
      <x:c r="Y94" s="29"/>
      <x:c r="Z94" s="29"/>
    </x:row>
    <x:row r="95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  <x:c r="X95" s="29"/>
      <x:c r="Y95" s="29"/>
      <x:c r="Z95" s="29"/>
    </x:row>
    <x:row r="96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  <x:c r="X96" s="29"/>
      <x:c r="Y96" s="29"/>
      <x:c r="Z96" s="29"/>
    </x:row>
    <x:row r="97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  <x:c r="X97" s="29"/>
      <x:c r="Y97" s="29"/>
      <x:c r="Z97" s="29"/>
    </x:row>
    <x:row r="98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  <x:c r="X98" s="29"/>
      <x:c r="Y98" s="29"/>
      <x:c r="Z98" s="29"/>
    </x:row>
    <x:row r="99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  <x:c r="X99" s="29"/>
      <x:c r="Y99" s="29"/>
      <x:c r="Z99" s="29"/>
    </x:row>
    <x:row r="100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  <x:c r="X100" s="29"/>
      <x:c r="Y100" s="29"/>
      <x:c r="Z100" s="29"/>
    </x:row>
  </x:sheetData>
  <x:mergeCells>
    <x:mergeCell ref="A1:F1"/>
  </x:mergeCells>
  <x:pageMargins left="0.7" right="0.7" top="0.75" bottom="0.75" header="0.3" footer="0.3"/>
</x:worksheet>
</file>